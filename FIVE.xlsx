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constantinmoreira/QualitySports/"/>
    </mc:Choice>
  </mc:AlternateContent>
  <xr:revisionPtr revIDLastSave="0" documentId="13_ncr:1_{66166461-1581-6C4D-954C-0F64A3C61625}" xr6:coauthVersionLast="47" xr6:coauthVersionMax="47" xr10:uidLastSave="{00000000-0000-0000-0000-000000000000}"/>
  <bookViews>
    <workbookView xWindow="0" yWindow="780" windowWidth="34200" windowHeight="21460" activeTab="2" xr2:uid="{00000000-000D-0000-FFFF-FFFF00000000}"/>
  </bookViews>
  <sheets>
    <sheet name="matchs_joueurs" sheetId="1" r:id="rId1"/>
    <sheet name="statistiques" sheetId="2" r:id="rId2"/>
    <sheet name="vide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2" l="1"/>
  <c r="E14" i="2"/>
  <c r="B14" i="2"/>
  <c r="F13" i="2"/>
  <c r="E13" i="2"/>
  <c r="B13" i="2"/>
  <c r="F12" i="2"/>
  <c r="E12" i="2"/>
  <c r="F11" i="2"/>
  <c r="E11" i="2"/>
  <c r="B11" i="2"/>
  <c r="F10" i="2"/>
  <c r="E10" i="2"/>
  <c r="F9" i="2"/>
  <c r="E9" i="2"/>
  <c r="B9" i="2"/>
  <c r="F8" i="2"/>
  <c r="E8" i="2"/>
  <c r="B8" i="2"/>
  <c r="F7" i="2"/>
  <c r="E7" i="2"/>
  <c r="B7" i="2"/>
  <c r="F6" i="2"/>
  <c r="E6" i="2"/>
  <c r="B6" i="2"/>
  <c r="F5" i="2"/>
  <c r="E5" i="2"/>
  <c r="B5" i="2"/>
  <c r="F4" i="2"/>
  <c r="E4" i="2"/>
  <c r="B4" i="2"/>
  <c r="F3" i="2"/>
  <c r="E3" i="2"/>
  <c r="B3" i="2"/>
  <c r="F2" i="2"/>
  <c r="E2" i="2"/>
  <c r="B2" i="2"/>
  <c r="G3" i="2" l="1"/>
  <c r="G5" i="2"/>
  <c r="G13" i="2"/>
  <c r="G14" i="2"/>
  <c r="G4" i="2"/>
  <c r="G2" i="2"/>
  <c r="G7" i="2"/>
</calcChain>
</file>

<file path=xl/sharedStrings.xml><?xml version="1.0" encoding="utf-8"?>
<sst xmlns="http://schemas.openxmlformats.org/spreadsheetml/2006/main" count="186" uniqueCount="128">
  <si>
    <t>date</t>
  </si>
  <si>
    <t>player</t>
  </si>
  <si>
    <t>goals</t>
  </si>
  <si>
    <t>assists</t>
  </si>
  <si>
    <t>title_bu</t>
  </si>
  <si>
    <t>title_assist</t>
  </si>
  <si>
    <t>Abdel Karim</t>
  </si>
  <si>
    <t>Constantin</t>
  </si>
  <si>
    <t>Enos</t>
  </si>
  <si>
    <t>Jesus</t>
  </si>
  <si>
    <t>Anasse</t>
  </si>
  <si>
    <t>Mahamat</t>
  </si>
  <si>
    <t>Nabil</t>
  </si>
  <si>
    <t>Dorian</t>
  </si>
  <si>
    <t>Luka</t>
  </si>
  <si>
    <t>Abdel Rafik</t>
  </si>
  <si>
    <t>Nassim</t>
  </si>
  <si>
    <t>participations</t>
  </si>
  <si>
    <t>wins</t>
  </si>
  <si>
    <t>goals_total</t>
  </si>
  <si>
    <t>assists_total</t>
  </si>
  <si>
    <t>avg_time_to_goal</t>
  </si>
  <si>
    <t>Sidoine</t>
  </si>
  <si>
    <t>-</t>
  </si>
  <si>
    <t>Christian</t>
  </si>
  <si>
    <t>Equipe A</t>
  </si>
  <si>
    <t>Score A</t>
  </si>
  <si>
    <t>Equipe B</t>
  </si>
  <si>
    <t>Score B</t>
  </si>
  <si>
    <t>Lien</t>
  </si>
  <si>
    <t>timeline</t>
  </si>
  <si>
    <t>Constantin;Enos;Abdel Karim; Abdel Rafik;Anasse</t>
  </si>
  <si>
    <t>Luka;Mahamat;Dorian;Jesus;Nabil</t>
  </si>
  <si>
    <t>https://drive.google.com/drive/folders/14kRwWrWo5QRMlbRC2jRseEDPMnWWzSSU?usp=drive_link</t>
  </si>
  <si>
    <t>4,Jesus,0-1;6,Enos,1-1;11,Abdel Karim,2-1;12,Anasse,3-1;13,Abdel Karim,4-1;15,Enos,5-1;17,Dorian,5-1;20,Abdel Rafik,6-2;23,Constantin,7-2;23,Constantin,8-2;24,Nabil,8-3;26,Abdel Karim,9-3;27,Luka,9-4;28,Mahamat,9-5;29,Enos,10-5;35,Mahamat,10-6;36,Anasse,11-6;37,Nabil,11-7;39,Nabil,11-8;40,Abdel Karim,12-8;41,Enos,13-8</t>
  </si>
  <si>
    <t>Constantin;Enos;François;Stephane;Seyed</t>
  </si>
  <si>
    <t>Abdel Karim;Jesus;Adrien;Andreja;Driss</t>
  </si>
  <si>
    <t>https://drive.google.com/drive/folders/1i8fM-tSV3szppXl4_eNR1zaSaQuj08NK?usp=drive_link</t>
  </si>
  <si>
    <t>Anasse;Seyed;Driss;François;Ahmed</t>
  </si>
  <si>
    <t>Jesus;Sofiane;Constantin;Loïc;Florent</t>
  </si>
  <si>
    <t>Seyed;Anasse;Ahmed;François;Driss</t>
  </si>
  <si>
    <t>Romain;Constantin;Wasim;Lamine;Florent</t>
  </si>
  <si>
    <t>Seyed;Enos;Anasse;Adrien;Florent</t>
  </si>
  <si>
    <t>Abdel Karim;Constantin;Mahamat;Tsio;Romain</t>
  </si>
  <si>
    <t>Florent;Loïc;Adrien;Maxime;Wasim</t>
  </si>
  <si>
    <t>Jesus;Enos;Constantin;Driss;François</t>
  </si>
  <si>
    <t>Constantin;Aniss;Abderrhman;Lamine;François</t>
  </si>
  <si>
    <t>Jesus;Youssef;Driss;Seyed;Florent</t>
  </si>
  <si>
    <t>Abdel Karim;Andreja;Lamine;Florent;Driss</t>
  </si>
  <si>
    <t>Weidong;Romain;Seyed;Adrien;Youssef</t>
  </si>
  <si>
    <t>Weidong;Seyed;Kevin;Aniss;Driss</t>
  </si>
  <si>
    <t>Constantin;Romain;Firas;Wassim;Lamine</t>
  </si>
  <si>
    <t>Nizar;Amine;Driss;Seyed;Anasse</t>
  </si>
  <si>
    <t>Nizar;Driss;Joseph;Stephane;Aaron</t>
  </si>
  <si>
    <t>Abdel Karim;Constantin;Amine;Romain;Seyed</t>
  </si>
  <si>
    <t>Romain;Abdel Karim;Lamine;Joseph;Amine</t>
  </si>
  <si>
    <t>Seyed;Mahdi;Youssef;Sofiane;Abdelkader</t>
  </si>
  <si>
    <t>https://drive.google.com/drive/folders/1rwS458lhBss-2t-SY0-VWxC2YDApoGlC?usp=drive_link</t>
  </si>
  <si>
    <t>Constantin;Seyed;Youssef;Mahdi;Sofiane</t>
  </si>
  <si>
    <t>Kevin;Aniss;Amine;Joseph;Wasim</t>
  </si>
  <si>
    <t>https://drive.google.com/drive/folders/1-Hm-RBmkHTCXOJ4QFOx1H_h6ivoedbyR?usp=drive_link</t>
  </si>
  <si>
    <t>Florent;Lamine;Driss;Aniss;Abdel Karim</t>
  </si>
  <si>
    <t>Abderrhman;Nizar;Joseph;Mahdi;Mario</t>
  </si>
  <si>
    <t>https://drive.google.com/drive/folders/16vu79gj0Kjv8fSqsk49B4I16V2waorAL?usp=drive_link</t>
  </si>
  <si>
    <t>1,Florent,1-0;4,Florent,2-0;7,Nizar,2-1;8,Nizar,2-2;11,Florent,3-2;15,Nizar,3-3;16,Florent,4-3;17,Nizar,4-4;20,Florent,5-4;29,Florent,6-4;31,Florent,7-4;32,Nizar,7-5;37,Nizar,7-6;40,Nizar,7-7;41,Florent,8-7;42,Nizar,8-8;46,Nizar,8-9;47,Florent,9-9;48,Florent,10-9;49,Nizar,10-10;58,Florent,11-10</t>
  </si>
  <si>
    <t>Anasse;Mahdi;Romain;Kevin;Stephane</t>
  </si>
  <si>
    <t>https://drive.google.com/drive/folders/14UK_QOTGM6Nml6nDTzIffvejBUSL4Y72?usp=sharing</t>
  </si>
  <si>
    <t>Anasse;Driss;Florent;Aniss;Lamine</t>
  </si>
  <si>
    <t>https://drive.google.com/drive/folders/1uTGn0YMUkgTue4u3Y5-3HPyNH8wStzIv?usp=drive_link</t>
  </si>
  <si>
    <t>7,Lamine,0-1; 8,Loic,1-1; 10,Lamine,1-2; 13,Lamine,1-3; 17,Loic,2-3; 18,Enos,3-3; 18,Anasse,3-4; 19,Lamine,3-5; 22,Jesus,4-5; 24,Mohamed,5-5; 25,Driss,5-6; 26,Enos,6-6; 29,Loic,7-6; 34,Lamine,7-7; 36,Anasse,7-8; 40,aniss,7-9; 41,Mohamed,8-9; 41,Anasse,8-10; 43,Florent,8-11; 44,Loic,9-11; 47,Constantin,10-11; 50,Aniss,10-12; 52,Florent,10-13; 56,Driss,10-14</t>
  </si>
  <si>
    <t>Aniss;Abdel Karim;Nassim;Seyed;Stephane</t>
  </si>
  <si>
    <t>https://drive.google.com/drive/folders/1vwOg3V_1XbjXlAzYXMj93sC_4PtYTVX4?usp=drive_link</t>
  </si>
  <si>
    <t>3,Joseph,1-0;4,Mahdi,2-0;8,Mahdi,3-0;8,Romain,4-0;9,Stephane,4-1;10,Romain,5-1;11,Nassim,5-2;13,Mahdi,6-2;15,Joseph,7-2;17,Jesus,8-2;19,Aniss,8-3;19,Romain,9-3;20,Nassim,9-4;25,Loic,10-4;28,Joseph,11-4;30,Mahdi,12-4;37,Romain,13-4;39,Loic,14-4;41,Seyed,14-5;42,Loic,15-5;44,Nassim,15-6;46,Seyed,15-7;46,Romain,16-7;51,Joseph,17-7;54,Loic,18-7</t>
  </si>
  <si>
    <t>Constantin;Anasse;François;Aniss;Lamine</t>
  </si>
  <si>
    <t>https://drive.google.com/drive/folders/1gYfL7utSFXSF9LKtbTiP8moZPUDq2vJj?usp=drive_link</t>
  </si>
  <si>
    <t>2,Constantin,1-0;6,François,2-0;7,Florent,2-1;17,Briac,2-2;21,François,3-2;23,François,4-2;25,Adrien,4-3;27,Loic,4-4;28,Adrien,4-5;30,Loic,4-6;33,Lamine,5-6;42,Lamine,6-6;43,Briac,6-7;47,Lamine,7-7</t>
  </si>
  <si>
    <t>Seyed;Abdel Karim;Lamine;Adrien;Florent</t>
  </si>
  <si>
    <t>Romain;Mahdi;Aniss;Joseph;Briac</t>
  </si>
  <si>
    <t>Constantin;Enos;Romain;Anas;Lamine</t>
  </si>
  <si>
    <t>Jesus;Abdel Karim;Anasse;Nassim;Driss</t>
  </si>
  <si>
    <t>nuls</t>
  </si>
  <si>
    <t>meilleur buteur</t>
  </si>
  <si>
    <t>meilleur passeur</t>
  </si>
  <si>
    <t>https://drive.google.com/drive/folders/1rDpFIp2HEdq7YgAEOu69_W19ZtWwZ-Xz?usp=drive_link</t>
  </si>
  <si>
    <t>https://drive.google.com/drive/folders/1N403K58P4H76cKRYXuIRgwlKSyV_rptk?usp=drive_link</t>
  </si>
  <si>
    <t>https://drive.google.com/drive/folders/1sBb7SR-ZEbpd_zTJDmDIJa1agQ_n21Qk?usp=drive_link</t>
  </si>
  <si>
    <t>https://drive.google.com/drive/folders/1x_HJbLIQpbFzyROsLgPRVHrMscJETYOy?usp=drive_link</t>
  </si>
  <si>
    <t>https://drive.google.com/drive/folders/1ySjl5ghzq8NQz2rkYBtg33X5Xwvur1_i?usp=drive_link</t>
  </si>
  <si>
    <t>https://drive.google.com/drive/folders/13irp-et3DFO1UzUHlrBDa2fTUOGx8J7V?usp=drive_link</t>
  </si>
  <si>
    <t>Aaron;Loic L;Abdel Karim;Constantin;Mahdi</t>
  </si>
  <si>
    <t>https://drive.google.com/drive/folders/12XmbtPICbUsafueq85jK3MnfRm3cSuYa?usp=drive_link</t>
  </si>
  <si>
    <t>https://drive.google.com/drive/folders/1RZYYptBGfCUlwNxCvLzEm97uj5K3GjPl?usp=drive_link</t>
  </si>
  <si>
    <t>Constantin;Seyed;Wassim;Loic L;François</t>
  </si>
  <si>
    <t>9,Kevin,0-1; 9,Mahdi,0-2; 14,Loic,1-2; 14,Anasse,1-3; 15,Constantin,2-3; 26,Seyed,3-3; 28,Romain,3-4; 28,Wassim,4-4; 29,Mahdi,4-5; 32,Loic,5-5; 34,Anasse,5-6; 37,Wassim,6-6; 41,Loic,7-6; 44,Mahdi,7-7; 45,Wassim,8-7; 47,Kevin,8-8; 47,Constantin,9-8; 49,Loic,10-8; 49,Kevin,10-9; 50,Kevin,10-10; 51,Romain,10-11; 52,Wassim,11-11; 52,Romain,11-12; 53,Loic,12-12
55,Kevin,12-13; 57,François,13-13; 57,Mahdi,13-14</t>
  </si>
  <si>
    <t>Constantin;Enos;Jesus;Loic L;Mohamed</t>
  </si>
  <si>
    <t>Joseph;Mahdi;Romain;Loic L;Jesus</t>
  </si>
  <si>
    <t>Adrien;Briac;Loic L;Driss;Florent</t>
  </si>
  <si>
    <t>Enos;Anasse;Driss;Loic L;Nizar</t>
  </si>
  <si>
    <t>Anasse;Driss;Youssef;François;Loic L</t>
  </si>
  <si>
    <t>1,Anasse,0-1;3,Loic L,0-2;3,Briac,1-2;4,Braic,2-2;6,Romain,3-2;6,Loic L,3-3;10,Mahdi,4-3;16,Mahdi,5-3;17,Aniss,6-3;20,Loic L,6-4;21,Briac,7-4;22,Mahdi,8-4;25,Mahdi,9-4;27,Youssef,9-5;28,Romain,10-5;29,Youssef,9-5;29,Loic L,10-7;30,Loic L,10-8;31,Briac,11-8;34,Youssef,11-9;35,Joseph,12-9;38,Mahdi,13-9;43,Loic,13-10;48,François,13-11;48,Youssef,13-12;50,Driss,13-13;51,Youssef,13-14</t>
  </si>
  <si>
    <t>Constantin;Anasse;Driss;Youssef;Aniss</t>
  </si>
  <si>
    <t>Esteban;Joseph;Briac;Weidong;Florent</t>
  </si>
  <si>
    <t>Enos;Constantin;Mohamed;Lamine;Jesus</t>
  </si>
  <si>
    <t>Abderrhman;Loic L;Driss;Karim;Anasse</t>
  </si>
  <si>
    <t>Fabrice;Maxime;Kevin;Constantin;Lamine</t>
  </si>
  <si>
    <t>Driss;Youssef;Aniss;Esteban;Anasse</t>
  </si>
  <si>
    <t>Romain;Lamine;Adrien;Florent;Mohamed</t>
  </si>
  <si>
    <t>Constantin;Anasse;Maxime;Aniss;Loic L</t>
  </si>
  <si>
    <t>Esteban;Nassim;Thomas;Constantin;Fabrice</t>
  </si>
  <si>
    <t>Aniss;Kerim;Anasse;Maxime;Youssef</t>
  </si>
  <si>
    <t>Anasse;Lamine;Driss;Selim;Fabrice</t>
  </si>
  <si>
    <t>Constantin;Romain;Joyce;Loic L;Jesus</t>
  </si>
  <si>
    <t>Youssef;Seyed;Constantin;Driss;Poteau</t>
  </si>
  <si>
    <t>Fabrice;Romain;Anasse;Joyce;Philippe</t>
  </si>
  <si>
    <t>Maxime;Lamine;Constantin;Briac;Anasse</t>
  </si>
  <si>
    <t>Mahdi;Driss;Loic R;Fabrice;Philippe</t>
  </si>
  <si>
    <t>Constantin;Kerim;Joyce;Selim;Thomas</t>
  </si>
  <si>
    <t>Driss;Loic L;Christian;Romain;Anasse</t>
  </si>
  <si>
    <t>Briac;Loic R;Joyce;Youssef;Driss</t>
  </si>
  <si>
    <t>Fabrice;Slimane;Romain;Constantin;Kerim</t>
  </si>
  <si>
    <t>Romain;Youssef;Maxime;Jesus;Anasse</t>
  </si>
  <si>
    <t>Aniss;Kerim;Driss;Constantin;Fabrice</t>
  </si>
  <si>
    <t>Constantin;Joyce;Kevin;Romain;Driss</t>
  </si>
  <si>
    <t>Maxime;Anasse;Youssef;Seyed;Philippe</t>
  </si>
  <si>
    <t>Constantin;Jesus;Romain;Maxime;Loic L</t>
  </si>
  <si>
    <t>Driss;Anasse;Youssef;Mohamed;Aniss</t>
  </si>
  <si>
    <t>Constantin;Abdel Karim;Driss;Joyce;Mohamed</t>
  </si>
  <si>
    <t>Fabrice;Anasse;Enos;Briac;Maxime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</si>
</sst>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/&quot;mm"/>
    <numFmt numFmtId="165" formatCode="dd&quot;/&quot;mm&quot;/&quot;yyyy"/>
  </numFmts>
  <fonts count="11" x14ac:knownFonts="1"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Arial"/>
      <family val="2"/>
      <scheme val="minor"/>
    </font>
    <font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2">
    <xf numFmtId="0" fontId="0" fillId="0" borderId="0" xfId="0"/>
    <xf numFmtId="16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65" fontId="2" fillId="0" borderId="0" xfId="0" applyNumberFormat="1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165" fontId="2" fillId="0" borderId="2" xfId="0" applyNumberFormat="1" applyFont="1" applyBorder="1" applyAlignment="1">
      <alignment horizontal="right"/>
    </xf>
    <xf numFmtId="0" fontId="2" fillId="0" borderId="2" xfId="0" applyFont="1" applyBorder="1"/>
    <xf numFmtId="0" fontId="2" fillId="0" borderId="2" xfId="0" applyFont="1" applyBorder="1" applyAlignment="1">
      <alignment horizontal="right"/>
    </xf>
    <xf numFmtId="0" fontId="3" fillId="0" borderId="2" xfId="0" applyFont="1" applyBorder="1"/>
    <xf numFmtId="1" fontId="2" fillId="0" borderId="0" xfId="0" applyNumberFormat="1" applyFont="1" applyAlignment="1">
      <alignment horizontal="right"/>
    </xf>
    <xf numFmtId="0" fontId="4" fillId="0" borderId="0" xfId="0" applyFont="1"/>
    <xf numFmtId="0" fontId="5" fillId="0" borderId="1" xfId="0" applyFont="1" applyBorder="1" applyAlignment="1">
      <alignment horizontal="center" vertical="top"/>
    </xf>
    <xf numFmtId="0" fontId="0" fillId="0" borderId="0" xfId="0" applyAlignment="1">
      <alignment shrinkToFit="1"/>
    </xf>
    <xf numFmtId="0" fontId="8" fillId="0" borderId="0" xfId="0" applyFont="1"/>
    <xf numFmtId="0" fontId="7" fillId="0" borderId="0" xfId="0" applyFont="1"/>
    <xf numFmtId="14" fontId="9" fillId="0" borderId="0" xfId="0" applyNumberFormat="1" applyFont="1"/>
    <xf numFmtId="0" fontId="9" fillId="0" borderId="0" xfId="0" applyFont="1"/>
    <xf numFmtId="0" fontId="6" fillId="0" borderId="0" xfId="1"/>
    <xf numFmtId="14" fontId="10" fillId="0" borderId="0" xfId="0" applyNumberFormat="1" applyFont="1"/>
    <xf numFmtId="0" fontId="10" fillId="0" borderId="0" xfId="0" applyFont="1"/>
    <xf numFmtId="0" fontId="9" fillId="0" borderId="0" xfId="0" applyFont="1" applyAlignment="1">
      <alignment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ySjl5ghzq8NQz2rkYBtg33X5Xwvur1_i?usp=drive_link" TargetMode="External"/><Relationship Id="rId13" Type="http://schemas.openxmlformats.org/officeDocument/2006/relationships/hyperlink" Target="https://drive.google.com/drive/folders/1-Hm-RBmkHTCXOJ4QFOx1H_h6ivoedbyR?usp=drive_link" TargetMode="External"/><Relationship Id="rId18" Type="http://schemas.openxmlformats.org/officeDocument/2006/relationships/hyperlink" Target="https://drive.google.com/drive/folders/1gYfL7utSFXSF9LKtbTiP8moZPUDq2vJj?usp=drive_link" TargetMode="External"/><Relationship Id="rId3" Type="http://schemas.openxmlformats.org/officeDocument/2006/relationships/hyperlink" Target="https://drive.google.com/drive/folders/1rDpFIp2HEdq7YgAEOu69_W19ZtWwZ-Xz?usp=drive_link" TargetMode="External"/><Relationship Id="rId7" Type="http://schemas.openxmlformats.org/officeDocument/2006/relationships/hyperlink" Target="https://drive.google.com/drive/folders/1ySjl5ghzq8NQz2rkYBtg33X5Xwvur1_i?usp=drive_link" TargetMode="External"/><Relationship Id="rId12" Type="http://schemas.openxmlformats.org/officeDocument/2006/relationships/hyperlink" Target="https://drive.google.com/drive/folders/1rwS458lhBss-2t-SY0-VWxC2YDApoGlC?usp=drive_link" TargetMode="External"/><Relationship Id="rId17" Type="http://schemas.openxmlformats.org/officeDocument/2006/relationships/hyperlink" Target="https://drive.google.com/drive/folders/1vwOg3V_1XbjXlAzYXMj93sC_4PtYTVX4?usp=drive_link" TargetMode="External"/><Relationship Id="rId2" Type="http://schemas.openxmlformats.org/officeDocument/2006/relationships/hyperlink" Target="https://drive.google.com/drive/folders/1i8fM-tSV3szppXl4_eNR1zaSaQuj08NK?usp=drive_link" TargetMode="External"/><Relationship Id="rId16" Type="http://schemas.openxmlformats.org/officeDocument/2006/relationships/hyperlink" Target="https://drive.google.com/drive/folders/1uTGn0YMUkgTue4u3Y5-3HPyNH8wStzIv?usp=drive_link" TargetMode="External"/><Relationship Id="rId1" Type="http://schemas.openxmlformats.org/officeDocument/2006/relationships/hyperlink" Target="https://drive.google.com/drive/folders/14kRwWrWo5QRMlbRC2jRseEDPMnWWzSSU?usp=drive_link" TargetMode="External"/><Relationship Id="rId6" Type="http://schemas.openxmlformats.org/officeDocument/2006/relationships/hyperlink" Target="https://drive.google.com/drive/folders/1x_HJbLIQpbFzyROsLgPRVHrMscJETYOy?usp=drive_link" TargetMode="External"/><Relationship Id="rId11" Type="http://schemas.openxmlformats.org/officeDocument/2006/relationships/hyperlink" Target="https://drive.google.com/drive/folders/1RZYYptBGfCUlwNxCvLzEm97uj5K3GjPl?usp=drive_link" TargetMode="External"/><Relationship Id="rId5" Type="http://schemas.openxmlformats.org/officeDocument/2006/relationships/hyperlink" Target="https://drive.google.com/drive/folders/1sBb7SR-ZEbpd_zTJDmDIJa1agQ_n21Qk?usp=drive_link" TargetMode="External"/><Relationship Id="rId15" Type="http://schemas.openxmlformats.org/officeDocument/2006/relationships/hyperlink" Target="https://drive.google.com/drive/folders/14UK_QOTGM6Nml6nDTzIffvejBUSL4Y72?usp=sharing" TargetMode="External"/><Relationship Id="rId10" Type="http://schemas.openxmlformats.org/officeDocument/2006/relationships/hyperlink" Target="https://drive.google.com/drive/folders/12XmbtPICbUsafueq85jK3MnfRm3cSuYa?usp=drive_link" TargetMode="External"/><Relationship Id="rId4" Type="http://schemas.openxmlformats.org/officeDocument/2006/relationships/hyperlink" Target="https://drive.google.com/drive/folders/1N403K58P4H76cKRYXuIRgwlKSyV_rptk?usp=drive_link" TargetMode="External"/><Relationship Id="rId9" Type="http://schemas.openxmlformats.org/officeDocument/2006/relationships/hyperlink" Target="https://drive.google.com/drive/folders/13irp-et3DFO1UzUHlrBDa2fTUOGx8J7V?usp=drive_link" TargetMode="External"/><Relationship Id="rId14" Type="http://schemas.openxmlformats.org/officeDocument/2006/relationships/hyperlink" Target="https://drive.google.com/drive/folders/16vu79gj0Kjv8fSqsk49B4I16V2waorAL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55"/>
  <sheetViews>
    <sheetView workbookViewId="0"/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26" ht="15" x14ac:dyDescent="0.2">
      <c r="A2" s="3">
        <v>45716</v>
      </c>
      <c r="B2" s="4" t="s">
        <v>6</v>
      </c>
      <c r="C2" s="5">
        <v>4</v>
      </c>
      <c r="D2" s="5">
        <v>4</v>
      </c>
      <c r="E2" s="5">
        <v>1</v>
      </c>
      <c r="F2" s="5">
        <v>1</v>
      </c>
    </row>
    <row r="3" spans="1:26" ht="15" x14ac:dyDescent="0.2">
      <c r="A3" s="3">
        <v>45783</v>
      </c>
      <c r="B3" s="4" t="s">
        <v>6</v>
      </c>
      <c r="C3" s="5">
        <v>1</v>
      </c>
      <c r="D3" s="5">
        <v>3</v>
      </c>
      <c r="E3" s="5">
        <v>0</v>
      </c>
      <c r="F3" s="5">
        <v>1</v>
      </c>
    </row>
    <row r="4" spans="1:26" ht="15" x14ac:dyDescent="0.2">
      <c r="A4" s="3">
        <v>45797</v>
      </c>
      <c r="B4" s="4" t="s">
        <v>6</v>
      </c>
      <c r="C4" s="5">
        <v>1</v>
      </c>
      <c r="D4" s="5">
        <v>1</v>
      </c>
      <c r="E4" s="5">
        <v>0</v>
      </c>
      <c r="F4" s="5">
        <v>0</v>
      </c>
    </row>
    <row r="5" spans="1:26" ht="15" x14ac:dyDescent="0.2">
      <c r="A5" s="3">
        <v>45804</v>
      </c>
      <c r="B5" s="4" t="s">
        <v>6</v>
      </c>
      <c r="C5" s="5">
        <v>1</v>
      </c>
      <c r="D5" s="5">
        <v>2</v>
      </c>
      <c r="E5" s="5">
        <v>1</v>
      </c>
      <c r="F5" s="5">
        <v>1</v>
      </c>
    </row>
    <row r="6" spans="1:26" ht="15" x14ac:dyDescent="0.2">
      <c r="A6" s="3">
        <v>45884</v>
      </c>
      <c r="B6" s="4" t="s">
        <v>6</v>
      </c>
      <c r="C6" s="5">
        <v>2</v>
      </c>
      <c r="D6" s="5">
        <v>2</v>
      </c>
      <c r="E6" s="5">
        <v>0</v>
      </c>
      <c r="F6" s="5">
        <v>0</v>
      </c>
    </row>
    <row r="7" spans="1:26" ht="15" x14ac:dyDescent="0.2">
      <c r="A7" s="3">
        <v>45891</v>
      </c>
      <c r="B7" s="4" t="s">
        <v>6</v>
      </c>
      <c r="C7" s="5">
        <v>4</v>
      </c>
      <c r="D7" s="5">
        <v>2</v>
      </c>
      <c r="E7" s="5">
        <v>1</v>
      </c>
      <c r="F7" s="5">
        <v>1</v>
      </c>
    </row>
    <row r="8" spans="1:26" ht="15" x14ac:dyDescent="0.2">
      <c r="A8" s="3">
        <v>45898</v>
      </c>
      <c r="B8" s="4" t="s">
        <v>6</v>
      </c>
      <c r="C8" s="5">
        <v>3</v>
      </c>
      <c r="D8" s="5">
        <v>1</v>
      </c>
      <c r="E8" s="5">
        <v>1</v>
      </c>
      <c r="F8" s="5">
        <v>1</v>
      </c>
    </row>
    <row r="9" spans="1:26" ht="15" x14ac:dyDescent="0.2">
      <c r="A9" s="3">
        <v>45926</v>
      </c>
      <c r="B9" s="4" t="s">
        <v>6</v>
      </c>
      <c r="C9" s="5">
        <v>2</v>
      </c>
      <c r="D9" s="5">
        <v>2</v>
      </c>
      <c r="E9" s="5">
        <v>1</v>
      </c>
      <c r="F9" s="5">
        <v>1</v>
      </c>
    </row>
    <row r="10" spans="1:26" ht="15" x14ac:dyDescent="0.2">
      <c r="A10" s="3">
        <v>45947</v>
      </c>
      <c r="B10" s="4" t="s">
        <v>6</v>
      </c>
      <c r="C10" s="5">
        <v>0</v>
      </c>
      <c r="D10" s="5">
        <v>2</v>
      </c>
      <c r="E10" s="5">
        <v>0</v>
      </c>
      <c r="F10" s="5">
        <v>1</v>
      </c>
    </row>
    <row r="11" spans="1:26" ht="15" x14ac:dyDescent="0.2">
      <c r="A11" s="3">
        <v>45986</v>
      </c>
      <c r="B11" s="4" t="s">
        <v>6</v>
      </c>
      <c r="C11" s="5">
        <v>2</v>
      </c>
      <c r="D11" s="5">
        <v>2</v>
      </c>
      <c r="E11" s="5">
        <v>0</v>
      </c>
      <c r="F11" s="5">
        <v>1</v>
      </c>
    </row>
    <row r="12" spans="1:26" ht="15" x14ac:dyDescent="0.2">
      <c r="A12" s="6">
        <v>45716</v>
      </c>
      <c r="B12" s="7" t="s">
        <v>7</v>
      </c>
      <c r="C12" s="8">
        <v>2</v>
      </c>
      <c r="D12" s="8">
        <v>2</v>
      </c>
      <c r="E12" s="8">
        <v>0</v>
      </c>
      <c r="F12" s="8">
        <v>0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5" x14ac:dyDescent="0.2">
      <c r="A13" s="3">
        <v>45783</v>
      </c>
      <c r="B13" s="4" t="s">
        <v>7</v>
      </c>
      <c r="C13" s="5">
        <v>4</v>
      </c>
      <c r="D13" s="5">
        <v>1</v>
      </c>
      <c r="E13" s="5">
        <v>1</v>
      </c>
      <c r="F13" s="5">
        <v>0</v>
      </c>
    </row>
    <row r="14" spans="1:26" ht="15" x14ac:dyDescent="0.2">
      <c r="A14" s="3">
        <v>45791</v>
      </c>
      <c r="B14" s="4" t="s">
        <v>7</v>
      </c>
      <c r="C14" s="5">
        <v>2</v>
      </c>
      <c r="D14" s="5">
        <v>0</v>
      </c>
      <c r="E14" s="5">
        <v>1</v>
      </c>
      <c r="F14" s="5">
        <v>0</v>
      </c>
    </row>
    <row r="15" spans="1:26" ht="15" x14ac:dyDescent="0.2">
      <c r="A15" s="3">
        <v>45793</v>
      </c>
      <c r="B15" s="4" t="s">
        <v>7</v>
      </c>
      <c r="C15" s="5">
        <v>1</v>
      </c>
      <c r="D15" s="5">
        <v>2</v>
      </c>
      <c r="E15" s="5">
        <v>1</v>
      </c>
      <c r="F15" s="5">
        <v>1</v>
      </c>
    </row>
    <row r="16" spans="1:26" ht="15" x14ac:dyDescent="0.2">
      <c r="A16" s="3">
        <v>45797</v>
      </c>
      <c r="B16" s="4" t="s">
        <v>7</v>
      </c>
      <c r="C16" s="5">
        <v>6</v>
      </c>
      <c r="D16" s="5">
        <v>1</v>
      </c>
      <c r="E16" s="5">
        <v>1</v>
      </c>
      <c r="F16" s="5">
        <v>0</v>
      </c>
    </row>
    <row r="17" spans="1:26" ht="15" x14ac:dyDescent="0.2">
      <c r="A17" s="3">
        <v>45798</v>
      </c>
      <c r="B17" s="4" t="s">
        <v>7</v>
      </c>
      <c r="C17" s="5">
        <v>0</v>
      </c>
      <c r="D17" s="5">
        <v>0</v>
      </c>
      <c r="E17" s="5">
        <v>0</v>
      </c>
      <c r="F17" s="5">
        <v>0</v>
      </c>
    </row>
    <row r="18" spans="1:26" ht="15" x14ac:dyDescent="0.2">
      <c r="A18" s="3">
        <v>45800</v>
      </c>
      <c r="B18" s="4" t="s">
        <v>7</v>
      </c>
      <c r="C18" s="5">
        <v>0</v>
      </c>
      <c r="D18" s="5">
        <v>1</v>
      </c>
      <c r="E18" s="5">
        <v>0</v>
      </c>
      <c r="F18" s="5">
        <v>0</v>
      </c>
    </row>
    <row r="19" spans="1:26" ht="15" x14ac:dyDescent="0.2">
      <c r="A19" s="3">
        <v>45814</v>
      </c>
      <c r="B19" s="4" t="s">
        <v>7</v>
      </c>
      <c r="C19" s="5">
        <v>1</v>
      </c>
      <c r="D19" s="5">
        <v>0</v>
      </c>
      <c r="E19" s="5">
        <v>1</v>
      </c>
      <c r="F19" s="5">
        <v>0</v>
      </c>
    </row>
    <row r="20" spans="1:26" ht="15" x14ac:dyDescent="0.2">
      <c r="A20" s="3">
        <v>45884</v>
      </c>
      <c r="B20" s="4" t="s">
        <v>7</v>
      </c>
      <c r="C20" s="5">
        <v>3</v>
      </c>
      <c r="D20" s="5">
        <v>0</v>
      </c>
      <c r="E20" s="5">
        <v>0</v>
      </c>
      <c r="F20" s="5">
        <v>0</v>
      </c>
    </row>
    <row r="21" spans="1:26" ht="15" x14ac:dyDescent="0.2">
      <c r="A21" s="3">
        <v>45891</v>
      </c>
      <c r="B21" s="4" t="s">
        <v>7</v>
      </c>
      <c r="C21" s="5">
        <v>0</v>
      </c>
      <c r="D21" s="5">
        <v>2</v>
      </c>
      <c r="E21" s="5">
        <v>0</v>
      </c>
      <c r="F21" s="5">
        <v>1</v>
      </c>
    </row>
    <row r="22" spans="1:26" ht="15" x14ac:dyDescent="0.2">
      <c r="A22" s="3">
        <v>45905</v>
      </c>
      <c r="B22" s="4" t="s">
        <v>7</v>
      </c>
      <c r="C22" s="5">
        <v>1</v>
      </c>
      <c r="D22" s="5">
        <v>1</v>
      </c>
      <c r="E22" s="5">
        <v>1</v>
      </c>
      <c r="F22" s="5">
        <v>1</v>
      </c>
    </row>
    <row r="23" spans="1:26" ht="15" x14ac:dyDescent="0.2">
      <c r="A23" s="3">
        <v>45926</v>
      </c>
      <c r="B23" s="4" t="s">
        <v>7</v>
      </c>
      <c r="C23" s="5">
        <v>2</v>
      </c>
      <c r="D23" s="5">
        <v>1</v>
      </c>
      <c r="E23" s="5">
        <v>1</v>
      </c>
      <c r="F23" s="5">
        <v>1</v>
      </c>
    </row>
    <row r="24" spans="1:26" ht="15" x14ac:dyDescent="0.2">
      <c r="A24" s="3">
        <v>45939</v>
      </c>
      <c r="B24" s="4" t="s">
        <v>7</v>
      </c>
      <c r="C24" s="5">
        <v>1</v>
      </c>
      <c r="D24" s="5">
        <v>3</v>
      </c>
      <c r="E24" s="5">
        <v>0</v>
      </c>
      <c r="F24" s="5">
        <v>1</v>
      </c>
    </row>
    <row r="25" spans="1:26" ht="15" x14ac:dyDescent="0.2">
      <c r="A25" s="3">
        <v>45954</v>
      </c>
      <c r="B25" s="4" t="s">
        <v>7</v>
      </c>
      <c r="C25" s="5">
        <v>1</v>
      </c>
      <c r="D25" s="5">
        <v>1</v>
      </c>
      <c r="E25" s="5">
        <v>1</v>
      </c>
      <c r="F25" s="5">
        <v>1</v>
      </c>
    </row>
    <row r="26" spans="1:26" ht="15" x14ac:dyDescent="0.2">
      <c r="A26" s="3">
        <v>45986</v>
      </c>
      <c r="B26" s="4" t="s">
        <v>7</v>
      </c>
      <c r="C26" s="5">
        <v>1</v>
      </c>
      <c r="D26" s="5">
        <v>2</v>
      </c>
      <c r="E26" s="5">
        <v>0</v>
      </c>
      <c r="F26" s="5">
        <v>1</v>
      </c>
    </row>
    <row r="27" spans="1:26" ht="15" x14ac:dyDescent="0.2">
      <c r="A27" s="6">
        <v>45716</v>
      </c>
      <c r="B27" s="7" t="s">
        <v>8</v>
      </c>
      <c r="C27" s="8">
        <v>4</v>
      </c>
      <c r="D27" s="8">
        <v>2</v>
      </c>
      <c r="E27" s="8">
        <v>1</v>
      </c>
      <c r="F27" s="8">
        <v>0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5" x14ac:dyDescent="0.2">
      <c r="A28" s="3">
        <v>45783</v>
      </c>
      <c r="B28" s="4" t="s">
        <v>8</v>
      </c>
      <c r="C28" s="5">
        <v>2</v>
      </c>
      <c r="D28" s="5">
        <v>0</v>
      </c>
      <c r="E28" s="5">
        <v>0</v>
      </c>
      <c r="F28" s="5">
        <v>0</v>
      </c>
    </row>
    <row r="29" spans="1:26" ht="15" x14ac:dyDescent="0.2">
      <c r="A29" s="3">
        <v>45797</v>
      </c>
      <c r="B29" s="4" t="s">
        <v>8</v>
      </c>
      <c r="C29" s="5">
        <v>5</v>
      </c>
      <c r="D29" s="5">
        <v>1</v>
      </c>
      <c r="E29" s="5">
        <v>0</v>
      </c>
      <c r="F29" s="5">
        <v>0</v>
      </c>
    </row>
    <row r="30" spans="1:26" ht="15" x14ac:dyDescent="0.2">
      <c r="A30" s="3">
        <v>45798</v>
      </c>
      <c r="B30" s="4" t="s">
        <v>8</v>
      </c>
      <c r="C30" s="5">
        <v>2</v>
      </c>
      <c r="D30" s="5">
        <v>1</v>
      </c>
      <c r="E30" s="5">
        <v>0</v>
      </c>
      <c r="F30" s="5">
        <v>0</v>
      </c>
    </row>
    <row r="31" spans="1:26" ht="15" x14ac:dyDescent="0.2">
      <c r="A31" s="3">
        <v>45939</v>
      </c>
      <c r="B31" s="4" t="s">
        <v>8</v>
      </c>
      <c r="C31" s="5">
        <v>2</v>
      </c>
      <c r="D31" s="5">
        <v>0</v>
      </c>
      <c r="E31" s="5">
        <v>0</v>
      </c>
      <c r="F31" s="5">
        <v>0</v>
      </c>
    </row>
    <row r="32" spans="1:26" ht="15" x14ac:dyDescent="0.2">
      <c r="A32" s="3">
        <v>45986</v>
      </c>
      <c r="B32" s="4" t="s">
        <v>8</v>
      </c>
      <c r="C32" s="5">
        <v>1</v>
      </c>
      <c r="D32" s="5">
        <v>0</v>
      </c>
      <c r="E32" s="5">
        <v>0</v>
      </c>
      <c r="F32" s="5">
        <v>0</v>
      </c>
    </row>
    <row r="33" spans="1:26" ht="15" x14ac:dyDescent="0.2">
      <c r="A33" s="6">
        <v>45716</v>
      </c>
      <c r="B33" s="7" t="s">
        <v>9</v>
      </c>
      <c r="C33" s="8">
        <v>1</v>
      </c>
      <c r="D33" s="8">
        <v>1</v>
      </c>
      <c r="E33" s="8">
        <v>0</v>
      </c>
      <c r="F33" s="8">
        <v>0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5" x14ac:dyDescent="0.2">
      <c r="A34" s="3">
        <v>45782</v>
      </c>
      <c r="B34" s="4" t="s">
        <v>9</v>
      </c>
      <c r="C34" s="5">
        <v>0</v>
      </c>
      <c r="D34" s="5">
        <v>1</v>
      </c>
      <c r="E34" s="5">
        <v>0</v>
      </c>
      <c r="F34" s="5">
        <v>0</v>
      </c>
    </row>
    <row r="35" spans="1:26" ht="15" x14ac:dyDescent="0.2">
      <c r="A35" s="3">
        <v>45791</v>
      </c>
      <c r="B35" s="4" t="s">
        <v>9</v>
      </c>
      <c r="C35" s="5">
        <v>0</v>
      </c>
      <c r="D35" s="5">
        <v>1</v>
      </c>
      <c r="E35" s="5">
        <v>0</v>
      </c>
      <c r="F35" s="5">
        <v>1</v>
      </c>
    </row>
    <row r="36" spans="1:26" ht="15" x14ac:dyDescent="0.2">
      <c r="A36" s="3">
        <v>45798</v>
      </c>
      <c r="B36" s="4" t="s">
        <v>9</v>
      </c>
      <c r="C36" s="5">
        <v>2</v>
      </c>
      <c r="D36" s="5">
        <v>1</v>
      </c>
      <c r="E36" s="5">
        <v>0</v>
      </c>
      <c r="F36" s="5">
        <v>0</v>
      </c>
    </row>
    <row r="37" spans="1:26" ht="15" x14ac:dyDescent="0.2">
      <c r="A37" s="3">
        <v>45800</v>
      </c>
      <c r="B37" s="4" t="s">
        <v>9</v>
      </c>
      <c r="C37" s="5">
        <v>0</v>
      </c>
      <c r="D37" s="5">
        <v>1</v>
      </c>
      <c r="E37" s="5">
        <v>0</v>
      </c>
      <c r="F37" s="5">
        <v>1</v>
      </c>
    </row>
    <row r="38" spans="1:26" ht="15" x14ac:dyDescent="0.2">
      <c r="A38" s="3">
        <v>45939</v>
      </c>
      <c r="B38" s="4" t="s">
        <v>9</v>
      </c>
      <c r="C38" s="5">
        <v>1</v>
      </c>
      <c r="D38" s="5">
        <v>1</v>
      </c>
      <c r="E38" s="5">
        <v>0</v>
      </c>
      <c r="F38" s="5">
        <v>0</v>
      </c>
    </row>
    <row r="39" spans="1:26" ht="15" x14ac:dyDescent="0.2">
      <c r="A39" s="3">
        <v>45947</v>
      </c>
      <c r="B39" s="4" t="s">
        <v>9</v>
      </c>
      <c r="C39" s="5">
        <v>1</v>
      </c>
      <c r="D39" s="5">
        <v>2</v>
      </c>
      <c r="E39" s="5">
        <v>1</v>
      </c>
      <c r="F39" s="5">
        <v>1</v>
      </c>
    </row>
    <row r="40" spans="1:26" ht="15" x14ac:dyDescent="0.2">
      <c r="A40" s="3">
        <v>45986</v>
      </c>
      <c r="B40" s="4" t="s">
        <v>9</v>
      </c>
      <c r="C40" s="5">
        <v>3</v>
      </c>
      <c r="D40" s="5">
        <v>0</v>
      </c>
      <c r="E40" s="5">
        <v>1</v>
      </c>
      <c r="F40" s="5">
        <v>0</v>
      </c>
    </row>
    <row r="41" spans="1:26" ht="15" x14ac:dyDescent="0.2">
      <c r="A41" s="6">
        <v>45716</v>
      </c>
      <c r="B41" s="7" t="s">
        <v>10</v>
      </c>
      <c r="C41" s="8">
        <v>2</v>
      </c>
      <c r="D41" s="8">
        <v>0</v>
      </c>
      <c r="E41" s="8">
        <v>0</v>
      </c>
      <c r="F41" s="8">
        <v>0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5" x14ac:dyDescent="0.2">
      <c r="A42" s="3">
        <v>45791</v>
      </c>
      <c r="B42" s="4" t="s">
        <v>10</v>
      </c>
      <c r="C42" s="5">
        <v>0</v>
      </c>
      <c r="D42" s="5">
        <v>0</v>
      </c>
      <c r="E42" s="5">
        <v>0</v>
      </c>
      <c r="F42" s="5">
        <v>0</v>
      </c>
    </row>
    <row r="43" spans="1:26" ht="15" x14ac:dyDescent="0.2">
      <c r="A43" s="3">
        <v>45793</v>
      </c>
      <c r="B43" s="4" t="s">
        <v>10</v>
      </c>
      <c r="C43" s="5">
        <v>1</v>
      </c>
      <c r="D43" s="5">
        <v>1</v>
      </c>
      <c r="E43" s="5">
        <v>1</v>
      </c>
      <c r="F43" s="5">
        <v>0</v>
      </c>
    </row>
    <row r="44" spans="1:26" ht="15" x14ac:dyDescent="0.2">
      <c r="A44" s="3">
        <v>45798</v>
      </c>
      <c r="B44" s="4" t="s">
        <v>10</v>
      </c>
      <c r="C44" s="5">
        <v>1</v>
      </c>
      <c r="D44" s="5">
        <v>0</v>
      </c>
      <c r="E44" s="5">
        <v>0</v>
      </c>
      <c r="F44" s="5">
        <v>0</v>
      </c>
    </row>
    <row r="45" spans="1:26" ht="15" x14ac:dyDescent="0.2">
      <c r="A45" s="3">
        <v>45926</v>
      </c>
      <c r="B45" s="4" t="s">
        <v>10</v>
      </c>
      <c r="C45" s="5">
        <v>2</v>
      </c>
      <c r="D45" s="5">
        <v>0</v>
      </c>
      <c r="E45" s="5">
        <v>1</v>
      </c>
      <c r="F45" s="5">
        <v>0</v>
      </c>
    </row>
    <row r="46" spans="1:26" ht="15" x14ac:dyDescent="0.2">
      <c r="A46" s="3">
        <v>45939</v>
      </c>
      <c r="B46" s="4" t="s">
        <v>10</v>
      </c>
      <c r="C46" s="5">
        <v>3</v>
      </c>
      <c r="D46" s="5">
        <v>0</v>
      </c>
      <c r="E46" s="5">
        <v>1</v>
      </c>
      <c r="F46" s="5">
        <v>0</v>
      </c>
    </row>
    <row r="47" spans="1:26" ht="15" x14ac:dyDescent="0.2">
      <c r="A47" s="3">
        <v>45954</v>
      </c>
      <c r="B47" s="4" t="s">
        <v>10</v>
      </c>
      <c r="C47" s="5">
        <v>0</v>
      </c>
      <c r="D47" s="5">
        <v>1</v>
      </c>
      <c r="E47" s="5">
        <v>0</v>
      </c>
      <c r="F47" s="5">
        <v>1</v>
      </c>
    </row>
    <row r="48" spans="1:26" ht="15" x14ac:dyDescent="0.2">
      <c r="A48" s="3">
        <v>45986</v>
      </c>
      <c r="B48" s="4" t="s">
        <v>10</v>
      </c>
      <c r="C48" s="5">
        <v>1</v>
      </c>
      <c r="D48" s="5">
        <v>0</v>
      </c>
      <c r="E48" s="5">
        <v>0</v>
      </c>
      <c r="F48" s="5">
        <v>0</v>
      </c>
    </row>
    <row r="49" spans="1:26" ht="15" x14ac:dyDescent="0.2">
      <c r="A49" s="6">
        <v>45716</v>
      </c>
      <c r="B49" s="7" t="s">
        <v>11</v>
      </c>
      <c r="C49" s="8">
        <v>2</v>
      </c>
      <c r="D49" s="8">
        <v>2</v>
      </c>
      <c r="E49" s="8">
        <v>0</v>
      </c>
      <c r="F49" s="8">
        <v>0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5" x14ac:dyDescent="0.2">
      <c r="A50" s="3">
        <v>45797</v>
      </c>
      <c r="B50" s="4" t="s">
        <v>11</v>
      </c>
      <c r="C50" s="5">
        <v>3</v>
      </c>
      <c r="D50" s="5">
        <v>1</v>
      </c>
      <c r="E50" s="5">
        <v>0</v>
      </c>
      <c r="F50" s="5">
        <v>0</v>
      </c>
    </row>
    <row r="51" spans="1:26" ht="15" x14ac:dyDescent="0.2">
      <c r="A51" s="6">
        <v>45716</v>
      </c>
      <c r="B51" s="7" t="s">
        <v>12</v>
      </c>
      <c r="C51" s="8">
        <v>3</v>
      </c>
      <c r="D51" s="8">
        <v>0</v>
      </c>
      <c r="E51" s="8">
        <v>0</v>
      </c>
      <c r="F51" s="8">
        <v>0</v>
      </c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5" x14ac:dyDescent="0.2">
      <c r="A52" s="6">
        <v>45716</v>
      </c>
      <c r="B52" s="7" t="s">
        <v>13</v>
      </c>
      <c r="C52" s="8">
        <v>1</v>
      </c>
      <c r="D52" s="8">
        <v>0</v>
      </c>
      <c r="E52" s="8">
        <v>0</v>
      </c>
      <c r="F52" s="8">
        <v>0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5" x14ac:dyDescent="0.2">
      <c r="A53" s="6">
        <v>45716</v>
      </c>
      <c r="B53" s="7" t="s">
        <v>14</v>
      </c>
      <c r="C53" s="8">
        <v>1</v>
      </c>
      <c r="D53" s="8">
        <v>0</v>
      </c>
      <c r="E53" s="8">
        <v>0</v>
      </c>
      <c r="F53" s="8">
        <v>0</v>
      </c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5" x14ac:dyDescent="0.2">
      <c r="A54" s="6">
        <v>45716</v>
      </c>
      <c r="B54" s="7" t="s">
        <v>15</v>
      </c>
      <c r="C54" s="8">
        <v>1</v>
      </c>
      <c r="D54" s="8">
        <v>1</v>
      </c>
      <c r="E54" s="8">
        <v>0</v>
      </c>
      <c r="F54" s="8">
        <v>0</v>
      </c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5" x14ac:dyDescent="0.2">
      <c r="A55" s="6">
        <v>45986</v>
      </c>
      <c r="B55" s="7" t="s">
        <v>16</v>
      </c>
      <c r="C55" s="8">
        <v>2</v>
      </c>
      <c r="D55" s="8">
        <v>1</v>
      </c>
      <c r="E55" s="8">
        <v>0</v>
      </c>
      <c r="F55" s="8">
        <v>0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4"/>
  <sheetViews>
    <sheetView workbookViewId="0">
      <selection activeCell="K3" sqref="K3"/>
    </sheetView>
  </sheetViews>
  <sheetFormatPr baseColWidth="10" defaultColWidth="12.6640625" defaultRowHeight="15.75" customHeight="1" x14ac:dyDescent="0.15"/>
  <cols>
    <col min="6" max="6" width="10.33203125" bestFit="1" customWidth="1"/>
  </cols>
  <sheetData>
    <row r="1" spans="1:11" ht="15.75" customHeight="1" x14ac:dyDescent="0.15">
      <c r="A1" s="2" t="s">
        <v>1</v>
      </c>
      <c r="B1" s="2" t="s">
        <v>17</v>
      </c>
      <c r="C1" s="2" t="s">
        <v>18</v>
      </c>
      <c r="D1" s="12" t="s">
        <v>80</v>
      </c>
      <c r="E1" s="2" t="s">
        <v>19</v>
      </c>
      <c r="F1" s="2" t="s">
        <v>20</v>
      </c>
      <c r="G1" s="2" t="s">
        <v>21</v>
      </c>
      <c r="H1" s="2" t="s">
        <v>81</v>
      </c>
      <c r="I1" s="2" t="s">
        <v>82</v>
      </c>
      <c r="J1" s="2"/>
      <c r="K1" s="2"/>
    </row>
    <row r="2" spans="1:11" ht="15" x14ac:dyDescent="0.2">
      <c r="A2" s="4" t="s">
        <v>6</v>
      </c>
      <c r="B2" s="5">
        <f ca="1">IFERROR(__xludf.DUMMYFUNCTION("QUERY(IMPORTRANGE(""1VF259H18U7gWcFqLPk9T1ETvtyPzZJvqcyJZchpB9MY"", ""Feuil1!B:B""), ""SELECT COUNT(Col1) WHERE Col1 = '"" &amp; TRIM(A2) &amp; ""' LABEL COUNT(Col1) ''"")"),10)</f>
        <v>10</v>
      </c>
      <c r="C2" s="5">
        <v>6</v>
      </c>
      <c r="D2" s="5">
        <v>2</v>
      </c>
      <c r="E2" s="5">
        <f ca="1">IFERROR(__xludf.DUMMYFUNCTION("SUM(QUERY(IMPORTRANGE(""1VF259H18U7gWcFqLPk9T1ETvtyPzZJvqcyJZchpB9MY"", ""Feuil1!B:C""), ""SELECT Col2 WHERE Col1 = '"" &amp; A2 &amp; ""'""))"),20)</f>
        <v>20</v>
      </c>
      <c r="F2" s="5">
        <f ca="1">IFERROR(__xludf.DUMMYFUNCTION("SUM(QUERY(IMPORTRANGE(""1VF259H18U7gWcFqLPk9T1ETvtyPzZJvqcyJZchpB9MY"", ""Feuil1!B:D""), ""SELECT Col3 WHERE Col1 = '"" &amp; A2 &amp; ""'""))"),21)</f>
        <v>21</v>
      </c>
      <c r="G2" s="10">
        <f ca="1">1/((E2+F2)/(60*B2))</f>
        <v>14.634146341463415</v>
      </c>
      <c r="H2" s="5">
        <v>5</v>
      </c>
      <c r="I2" s="5">
        <v>8</v>
      </c>
      <c r="J2" s="11"/>
      <c r="K2" s="11"/>
    </row>
    <row r="3" spans="1:11" ht="15" x14ac:dyDescent="0.2">
      <c r="A3" s="4" t="s">
        <v>7</v>
      </c>
      <c r="B3" s="5">
        <f ca="1">IFERROR(__xludf.DUMMYFUNCTION("QUERY(IMPORTRANGE(""1VF259H18U7gWcFqLPk9T1ETvtyPzZJvqcyJZchpB9MY"", ""Feuil1!B:B""), ""SELECT COUNT(Col1) WHERE Col1 = '"" &amp; TRIM(A3) &amp; ""' LABEL COUNT(Col1) ''"")"),15)</f>
        <v>15</v>
      </c>
      <c r="C3" s="5">
        <v>8</v>
      </c>
      <c r="D3" s="5">
        <v>3</v>
      </c>
      <c r="E3" s="5">
        <f ca="1">IFERROR(__xludf.DUMMYFUNCTION("SUM(QUERY(IMPORTRANGE(""1VF259H18U7gWcFqLPk9T1ETvtyPzZJvqcyJZchpB9MY"", ""Feuil1!B:C""), ""SELECT Col2 WHERE Col1 = '"" &amp; A3 &amp; ""'""))"),25)</f>
        <v>25</v>
      </c>
      <c r="F3" s="5">
        <f ca="1">IFERROR(__xludf.DUMMYFUNCTION("SUM(QUERY(IMPORTRANGE(""1VF259H18U7gWcFqLPk9T1ETvtyPzZJvqcyJZchpB9MY"", ""Feuil1!B:D""), ""SELECT Col3 WHERE Col1 = '"" &amp; A3 &amp; ""'""))"),17)</f>
        <v>17</v>
      </c>
      <c r="G3" s="10">
        <f ca="1">1/((E3+F3)/(60*B3))</f>
        <v>21.428571428571427</v>
      </c>
      <c r="H3" s="5">
        <v>8</v>
      </c>
      <c r="I3" s="5">
        <v>7</v>
      </c>
      <c r="J3" s="11"/>
      <c r="K3" s="11"/>
    </row>
    <row r="4" spans="1:11" ht="15" x14ac:dyDescent="0.2">
      <c r="A4" s="4" t="s">
        <v>8</v>
      </c>
      <c r="B4" s="5">
        <f ca="1">IFERROR(__xludf.DUMMYFUNCTION("QUERY(IMPORTRANGE(""1VF259H18U7gWcFqLPk9T1ETvtyPzZJvqcyJZchpB9MY"", ""Feuil1!B:B""), ""SELECT COUNT(Col1) WHERE Col1 = '"" &amp; TRIM(A4) &amp; ""' LABEL COUNT(Col1) ''"")"),6)</f>
        <v>6</v>
      </c>
      <c r="C4" s="5">
        <v>2</v>
      </c>
      <c r="D4" s="5">
        <v>1</v>
      </c>
      <c r="E4" s="5">
        <f ca="1">IFERROR(__xludf.DUMMYFUNCTION("SUM(QUERY(IMPORTRANGE(""1VF259H18U7gWcFqLPk9T1ETvtyPzZJvqcyJZchpB9MY"", ""Feuil1!B:C""), ""SELECT Col2 WHERE Col1 = '"" &amp; A4 &amp; ""'""))"),16)</f>
        <v>16</v>
      </c>
      <c r="F4" s="5">
        <f ca="1">IFERROR(__xludf.DUMMYFUNCTION("SUM(QUERY(IMPORTRANGE(""1VF259H18U7gWcFqLPk9T1ETvtyPzZJvqcyJZchpB9MY"", ""Feuil1!B:D""), ""SELECT Col3 WHERE Col1 = '"" &amp; A4 &amp; ""'""))"),4)</f>
        <v>4</v>
      </c>
      <c r="G4" s="10">
        <f ca="1">1/((E4+F4)/(60*B4))</f>
        <v>18</v>
      </c>
      <c r="H4" s="5">
        <v>1</v>
      </c>
      <c r="I4" s="5">
        <v>0</v>
      </c>
      <c r="J4" s="11"/>
      <c r="K4" s="11"/>
    </row>
    <row r="5" spans="1:11" ht="15" x14ac:dyDescent="0.2">
      <c r="A5" s="4" t="s">
        <v>9</v>
      </c>
      <c r="B5" s="5">
        <f ca="1">IFERROR(__xludf.DUMMYFUNCTION("QUERY(IMPORTRANGE(""1VF259H18U7gWcFqLPk9T1ETvtyPzZJvqcyJZchpB9MY"", ""Feuil1!B:B""), ""SELECT COUNT(Col1) WHERE Col1 = '"" &amp; TRIM(A5) &amp; ""' LABEL COUNT(Col1) ''"")"),8)</f>
        <v>8</v>
      </c>
      <c r="C5" s="5">
        <v>2</v>
      </c>
      <c r="D5" s="5">
        <v>1</v>
      </c>
      <c r="E5" s="5">
        <f ca="1">IFERROR(__xludf.DUMMYFUNCTION("SUM(QUERY(IMPORTRANGE(""1VF259H18U7gWcFqLPk9T1ETvtyPzZJvqcyJZchpB9MY"", ""Feuil1!B:C""), ""SELECT Col2 WHERE Col1 = '"" &amp; A5 &amp; ""'""))"),8)</f>
        <v>8</v>
      </c>
      <c r="F5" s="5">
        <f ca="1">IFERROR(__xludf.DUMMYFUNCTION("SUM(QUERY(IMPORTRANGE(""1VF259H18U7gWcFqLPk9T1ETvtyPzZJvqcyJZchpB9MY"", ""Feuil1!B:D""), ""SELECT Col3 WHERE Col1 = '"" &amp; A5 &amp; ""'""))"),8)</f>
        <v>8</v>
      </c>
      <c r="G5" s="10">
        <f ca="1">1/((E5+F5)/(60*B5))</f>
        <v>30</v>
      </c>
      <c r="H5" s="5">
        <v>2</v>
      </c>
      <c r="I5" s="5">
        <v>3</v>
      </c>
      <c r="J5" s="11"/>
      <c r="K5" s="11"/>
    </row>
    <row r="6" spans="1:11" ht="15" x14ac:dyDescent="0.2">
      <c r="A6" s="4" t="s">
        <v>15</v>
      </c>
      <c r="B6" s="5">
        <f ca="1">IFERROR(__xludf.DUMMYFUNCTION("QUERY(IMPORTRANGE(""1VF259H18U7gWcFqLPk9T1ETvtyPzZJvqcyJZchpB9MY"", ""Feuil1!B:B""), ""SELECT COUNT(Col1) WHERE Col1 = '"" &amp; TRIM(A6) &amp; ""' LABEL COUNT(Col1) ''"")"),1)</f>
        <v>1</v>
      </c>
      <c r="C6" s="5">
        <v>1</v>
      </c>
      <c r="D6" s="5">
        <v>0</v>
      </c>
      <c r="E6" s="5">
        <f ca="1">IFERROR(__xludf.DUMMYFUNCTION("SUM(QUERY(IMPORTRANGE(""1VF259H18U7gWcFqLPk9T1ETvtyPzZJvqcyJZchpB9MY"", ""Feuil1!B:C""), ""SELECT Col2 WHERE Col1 = '"" &amp; A6 &amp; ""'""))"),1)</f>
        <v>1</v>
      </c>
      <c r="F6" s="5">
        <f ca="1">IFERROR(__xludf.DUMMYFUNCTION("SUM(QUERY(IMPORTRANGE(""1VF259H18U7gWcFqLPk9T1ETvtyPzZJvqcyJZchpB9MY"", ""Feuil1!B:D""), ""SELECT Col3 WHERE Col1 = '"" &amp; A6 &amp; ""'""))"),1)</f>
        <v>1</v>
      </c>
      <c r="G6" s="10">
        <v>0</v>
      </c>
      <c r="H6" s="5">
        <v>0</v>
      </c>
      <c r="I6" s="5">
        <v>0</v>
      </c>
      <c r="J6" s="11"/>
      <c r="K6" s="11"/>
    </row>
    <row r="7" spans="1:11" ht="15" x14ac:dyDescent="0.2">
      <c r="A7" s="4" t="s">
        <v>10</v>
      </c>
      <c r="B7" s="5">
        <f ca="1">IFERROR(__xludf.DUMMYFUNCTION("QUERY(IMPORTRANGE(""1VF259H18U7gWcFqLPk9T1ETvtyPzZJvqcyJZchpB9MY"", ""Feuil1!B:B""), ""SELECT COUNT(Col1) WHERE Col1 = '"" &amp; TRIM(A7) &amp; ""' LABEL COUNT(Col1) ''"")"),8)</f>
        <v>8</v>
      </c>
      <c r="C7" s="5">
        <v>4</v>
      </c>
      <c r="D7" s="5">
        <v>2</v>
      </c>
      <c r="E7" s="5">
        <f ca="1">IFERROR(__xludf.DUMMYFUNCTION("SUM(QUERY(IMPORTRANGE(""1VF259H18U7gWcFqLPk9T1ETvtyPzZJvqcyJZchpB9MY"", ""Feuil1!B:C""), ""SELECT Col2 WHERE Col1 = '"" &amp; A7 &amp; ""'""))"),10)</f>
        <v>10</v>
      </c>
      <c r="F7" s="5">
        <f ca="1">IFERROR(__xludf.DUMMYFUNCTION("SUM(QUERY(IMPORTRANGE(""1VF259H18U7gWcFqLPk9T1ETvtyPzZJvqcyJZchpB9MY"", ""Feuil1!B:D""), ""SELECT Col3 WHERE Col1 = '"" &amp; A7 &amp; ""'""))"),2)</f>
        <v>2</v>
      </c>
      <c r="G7" s="10">
        <f ca="1">1/((E7+F7)/(60*B7))</f>
        <v>40</v>
      </c>
      <c r="H7" s="5">
        <v>3</v>
      </c>
      <c r="I7" s="5">
        <v>1</v>
      </c>
      <c r="J7" s="11"/>
      <c r="K7" s="11"/>
    </row>
    <row r="8" spans="1:11" ht="15" x14ac:dyDescent="0.2">
      <c r="A8" s="4" t="s">
        <v>12</v>
      </c>
      <c r="B8" s="5">
        <f ca="1">IFERROR(__xludf.DUMMYFUNCTION("QUERY(IMPORTRANGE(""1VF259H18U7gWcFqLPk9T1ETvtyPzZJvqcyJZchpB9MY"", ""Feuil1!B:B""), ""SELECT COUNT(Col1) WHERE Col1 = '"" &amp; TRIM(A8) &amp; ""' LABEL COUNT(Col1) ''"")"),1)</f>
        <v>1</v>
      </c>
      <c r="C8" s="5">
        <v>0</v>
      </c>
      <c r="D8" s="5">
        <v>0</v>
      </c>
      <c r="E8" s="5">
        <f ca="1">IFERROR(__xludf.DUMMYFUNCTION("SUM(QUERY(IMPORTRANGE(""1VF259H18U7gWcFqLPk9T1ETvtyPzZJvqcyJZchpB9MY"", ""Feuil1!B:C""), ""SELECT Col2 WHERE Col1 = '"" &amp; A8 &amp; ""'""))"),3)</f>
        <v>3</v>
      </c>
      <c r="F8" s="5">
        <f ca="1">IFERROR(__xludf.DUMMYFUNCTION("SUM(QUERY(IMPORTRANGE(""1VF259H18U7gWcFqLPk9T1ETvtyPzZJvqcyJZchpB9MY"", ""Feuil1!B:D""), ""SELECT Col3 WHERE Col1 = '"" &amp; A8 &amp; ""'""))"),0)</f>
        <v>0</v>
      </c>
      <c r="G8" s="10">
        <v>0</v>
      </c>
      <c r="H8" s="5">
        <v>0</v>
      </c>
      <c r="I8" s="5">
        <v>0</v>
      </c>
      <c r="J8" s="11"/>
      <c r="K8" s="11"/>
    </row>
    <row r="9" spans="1:11" ht="15" x14ac:dyDescent="0.2">
      <c r="A9" s="4" t="s">
        <v>13</v>
      </c>
      <c r="B9" s="5">
        <f ca="1">IFERROR(__xludf.DUMMYFUNCTION("QUERY(IMPORTRANGE(""1VF259H18U7gWcFqLPk9T1ETvtyPzZJvqcyJZchpB9MY"", ""Feuil1!B:B""), ""SELECT COUNT(Col1) WHERE Col1 = '"" &amp; TRIM(A9) &amp; ""' LABEL COUNT(Col1) ''"")"),1)</f>
        <v>1</v>
      </c>
      <c r="C9" s="5">
        <v>0</v>
      </c>
      <c r="D9" s="5">
        <v>0</v>
      </c>
      <c r="E9" s="5">
        <f ca="1">IFERROR(__xludf.DUMMYFUNCTION("SUM(QUERY(IMPORTRANGE(""1VF259H18U7gWcFqLPk9T1ETvtyPzZJvqcyJZchpB9MY"", ""Feuil1!B:C""), ""SELECT Col2 WHERE Col1 = '"" &amp; A9 &amp; ""'""))"),1)</f>
        <v>1</v>
      </c>
      <c r="F9" s="5">
        <f ca="1">IFERROR(__xludf.DUMMYFUNCTION("SUM(QUERY(IMPORTRANGE(""1VF259H18U7gWcFqLPk9T1ETvtyPzZJvqcyJZchpB9MY"", ""Feuil1!B:D""), ""SELECT Col3 WHERE Col1 = '"" &amp; A9 &amp; ""'""))"),0)</f>
        <v>0</v>
      </c>
      <c r="G9" s="10">
        <v>0</v>
      </c>
      <c r="H9" s="5">
        <v>0</v>
      </c>
      <c r="I9" s="5">
        <v>0</v>
      </c>
      <c r="J9" s="11"/>
      <c r="K9" s="11"/>
    </row>
    <row r="10" spans="1:11" ht="15" x14ac:dyDescent="0.2">
      <c r="A10" s="4" t="s">
        <v>22</v>
      </c>
      <c r="B10" s="5">
        <v>0</v>
      </c>
      <c r="C10" s="4" t="s">
        <v>23</v>
      </c>
      <c r="D10" s="5">
        <v>0</v>
      </c>
      <c r="E10" s="5">
        <f ca="1">IFERROR(__xludf.DUMMYFUNCTION("SUM(QUERY(IMPORTRANGE(""1VF259H18U7gWcFqLPk9T1ETvtyPzZJvqcyJZchpB9MY"", ""Feuil1!B:C""), ""SELECT Col2 WHERE Col1 = '"" &amp; A10 &amp; ""'""))"),0)</f>
        <v>0</v>
      </c>
      <c r="F10" s="5">
        <f ca="1">IFERROR(__xludf.DUMMYFUNCTION("SUM(QUERY(IMPORTRANGE(""1VF259H18U7gWcFqLPk9T1ETvtyPzZJvqcyJZchpB9MY"", ""Feuil1!B:D""), ""SELECT Col3 WHERE Col1 = '"" &amp; A10 &amp; ""'""))"),0)</f>
        <v>0</v>
      </c>
      <c r="G10" s="10">
        <v>0</v>
      </c>
      <c r="H10" s="5">
        <v>0</v>
      </c>
      <c r="I10" s="5">
        <v>0</v>
      </c>
      <c r="J10" s="11"/>
      <c r="K10" s="11"/>
    </row>
    <row r="11" spans="1:11" ht="15" x14ac:dyDescent="0.2">
      <c r="A11" s="4" t="s">
        <v>14</v>
      </c>
      <c r="B11" s="5">
        <f ca="1">IFERROR(__xludf.DUMMYFUNCTION("QUERY(IMPORTRANGE(""1VF259H18U7gWcFqLPk9T1ETvtyPzZJvqcyJZchpB9MY"", ""Feuil1!B:B""), ""SELECT COUNT(Col1) WHERE Col1 = '"" &amp; TRIM(A11) &amp; ""' LABEL COUNT(Col1) ''"")"),1)</f>
        <v>1</v>
      </c>
      <c r="C11" s="5">
        <v>0</v>
      </c>
      <c r="D11" s="5">
        <v>0</v>
      </c>
      <c r="E11" s="5">
        <f ca="1">IFERROR(__xludf.DUMMYFUNCTION("SUM(QUERY(IMPORTRANGE(""1VF259H18U7gWcFqLPk9T1ETvtyPzZJvqcyJZchpB9MY"", ""Feuil1!B:C""), ""SELECT Col2 WHERE Col1 = '"" &amp; A11 &amp; ""'""))"),1)</f>
        <v>1</v>
      </c>
      <c r="F11" s="5">
        <f ca="1">IFERROR(__xludf.DUMMYFUNCTION("SUM(QUERY(IMPORTRANGE(""1VF259H18U7gWcFqLPk9T1ETvtyPzZJvqcyJZchpB9MY"", ""Feuil1!B:D""), ""SELECT Col3 WHERE Col1 = '"" &amp; A11 &amp; ""'""))"),0)</f>
        <v>0</v>
      </c>
      <c r="G11" s="10">
        <v>0</v>
      </c>
      <c r="H11" s="5">
        <v>0</v>
      </c>
      <c r="I11" s="5">
        <v>0</v>
      </c>
      <c r="J11" s="11"/>
      <c r="K11" s="11"/>
    </row>
    <row r="12" spans="1:11" ht="15" x14ac:dyDescent="0.2">
      <c r="A12" s="4" t="s">
        <v>24</v>
      </c>
      <c r="B12" s="5">
        <v>0</v>
      </c>
      <c r="C12" s="4" t="s">
        <v>23</v>
      </c>
      <c r="D12" s="5">
        <v>0</v>
      </c>
      <c r="E12" s="5">
        <f ca="1">IFERROR(__xludf.DUMMYFUNCTION("SUM(QUERY(IMPORTRANGE(""1VF259H18U7gWcFqLPk9T1ETvtyPzZJvqcyJZchpB9MY"", ""Feuil1!B:C""), ""SELECT Col2 WHERE Col1 = '"" &amp; A12 &amp; ""'""))"),0)</f>
        <v>0</v>
      </c>
      <c r="F12" s="5">
        <f ca="1">IFERROR(__xludf.DUMMYFUNCTION("SUM(QUERY(IMPORTRANGE(""1VF259H18U7gWcFqLPk9T1ETvtyPzZJvqcyJZchpB9MY"", ""Feuil1!B:D""), ""SELECT Col3 WHERE Col1 = '"" &amp; A12 &amp; ""'""))"),0)</f>
        <v>0</v>
      </c>
      <c r="G12" s="10">
        <v>0</v>
      </c>
      <c r="H12" s="5">
        <v>0</v>
      </c>
      <c r="I12" s="5">
        <v>0</v>
      </c>
      <c r="J12" s="11"/>
      <c r="K12" s="11"/>
    </row>
    <row r="13" spans="1:11" ht="15" x14ac:dyDescent="0.2">
      <c r="A13" s="4" t="s">
        <v>11</v>
      </c>
      <c r="B13" s="5">
        <f ca="1">IFERROR(__xludf.DUMMYFUNCTION("QUERY(IMPORTRANGE(""1VF259H18U7gWcFqLPk9T1ETvtyPzZJvqcyJZchpB9MY"", ""Feuil1!B:B""), ""SELECT COUNT(Col1) WHERE Col1 = '"" &amp; TRIM(A13) &amp; ""' LABEL COUNT(Col1) ''"")"),2)</f>
        <v>2</v>
      </c>
      <c r="C13" s="5">
        <v>1</v>
      </c>
      <c r="D13" s="5">
        <v>0</v>
      </c>
      <c r="E13" s="5">
        <f ca="1">IFERROR(__xludf.DUMMYFUNCTION("SUM(QUERY(IMPORTRANGE(""1VF259H18U7gWcFqLPk9T1ETvtyPzZJvqcyJZchpB9MY"", ""Feuil1!B:C""), ""SELECT Col2 WHERE Col1 = '"" &amp; A13 &amp; ""'""))"),5)</f>
        <v>5</v>
      </c>
      <c r="F13" s="5">
        <f ca="1">IFERROR(__xludf.DUMMYFUNCTION("SUM(QUERY(IMPORTRANGE(""1VF259H18U7gWcFqLPk9T1ETvtyPzZJvqcyJZchpB9MY"", ""Feuil1!B:D""), ""SELECT Col3 WHERE Col1 = '"" &amp; A13 &amp; ""'""))"),3)</f>
        <v>3</v>
      </c>
      <c r="G13" s="10">
        <f ca="1">1/((E13+F13)/(60*B13))</f>
        <v>15</v>
      </c>
      <c r="H13" s="5">
        <v>0</v>
      </c>
      <c r="I13" s="5">
        <v>0</v>
      </c>
      <c r="J13" s="11"/>
      <c r="K13" s="11"/>
    </row>
    <row r="14" spans="1:11" ht="15" x14ac:dyDescent="0.2">
      <c r="A14" s="4" t="s">
        <v>16</v>
      </c>
      <c r="B14" s="5">
        <f ca="1">IFERROR(__xludf.DUMMYFUNCTION("QUERY(IMPORTRANGE(""1VF259H18U7gWcFqLPk9T1ETvtyPzZJvqcyJZchpB9MY"", ""Feuil1!B:B""), ""SELECT COUNT(Col1) WHERE Col1 = '"" &amp; TRIM(A14) &amp; ""' LABEL COUNT(Col1) ''"")"),1)</f>
        <v>1</v>
      </c>
      <c r="C14" s="5">
        <v>0</v>
      </c>
      <c r="D14" s="5">
        <v>1</v>
      </c>
      <c r="E14" s="5">
        <f ca="1">IFERROR(__xludf.DUMMYFUNCTION("SUM(QUERY(IMPORTRANGE(""1VF259H18U7gWcFqLPk9T1ETvtyPzZJvqcyJZchpB9MY"", ""Feuil1!B:C""), ""SELECT Col2 WHERE Col1 = '"" &amp; A14 &amp; ""'""))"),2)</f>
        <v>2</v>
      </c>
      <c r="F14" s="5">
        <f ca="1">IFERROR(__xludf.DUMMYFUNCTION("SUM(QUERY(IMPORTRANGE(""1VF259H18U7gWcFqLPk9T1ETvtyPzZJvqcyJZchpB9MY"", ""Feuil1!B:D""), ""SELECT Col3 WHERE Col1 = '"" &amp; A14 &amp; ""'""))"),1)</f>
        <v>1</v>
      </c>
      <c r="G14" s="10">
        <f ca="1">1/((E14+F14)/(60*B14))</f>
        <v>20</v>
      </c>
      <c r="H14" s="5">
        <v>0</v>
      </c>
      <c r="I14" s="5">
        <v>0</v>
      </c>
      <c r="J14" s="11"/>
      <c r="K14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9"/>
  <sheetViews>
    <sheetView tabSelected="1" workbookViewId="0">
      <selection activeCell="D16" sqref="D16"/>
    </sheetView>
  </sheetViews>
  <sheetFormatPr baseColWidth="10" defaultColWidth="12.6640625" defaultRowHeight="15.75" customHeight="1" x14ac:dyDescent="0.15"/>
  <cols>
    <col min="1" max="1" width="10.1640625" customWidth="1"/>
    <col min="2" max="2" width="42" customWidth="1"/>
    <col min="3" max="3" width="6.6640625" customWidth="1"/>
    <col min="4" max="4" width="39" customWidth="1"/>
    <col min="5" max="5" width="6.6640625" customWidth="1"/>
    <col min="6" max="6" width="12.6640625" style="13"/>
    <col min="7" max="7" width="300.6640625" customWidth="1"/>
  </cols>
  <sheetData>
    <row r="1" spans="1:26" ht="15.75" customHeight="1" x14ac:dyDescent="0.2">
      <c r="A1" s="14" t="s">
        <v>0</v>
      </c>
      <c r="B1" s="14" t="s">
        <v>25</v>
      </c>
      <c r="C1" s="14" t="s">
        <v>26</v>
      </c>
      <c r="D1" s="14" t="s">
        <v>27</v>
      </c>
      <c r="E1" s="14" t="s">
        <v>28</v>
      </c>
      <c r="F1" s="14" t="s">
        <v>29</v>
      </c>
      <c r="G1" s="14" t="s">
        <v>30</v>
      </c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4" x14ac:dyDescent="0.15">
      <c r="A2" s="16">
        <v>45716</v>
      </c>
      <c r="B2" s="17" t="s">
        <v>31</v>
      </c>
      <c r="C2" s="17">
        <v>13</v>
      </c>
      <c r="D2" s="17" t="s">
        <v>32</v>
      </c>
      <c r="E2" s="17">
        <v>8</v>
      </c>
      <c r="F2" s="18" t="s">
        <v>33</v>
      </c>
      <c r="G2" s="17" t="s">
        <v>34</v>
      </c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5" x14ac:dyDescent="0.2">
      <c r="A3" s="19">
        <v>45783</v>
      </c>
      <c r="B3" s="20" t="s">
        <v>35</v>
      </c>
      <c r="C3" s="20">
        <v>12</v>
      </c>
      <c r="D3" s="20" t="s">
        <v>36</v>
      </c>
      <c r="E3" s="20">
        <v>11</v>
      </c>
      <c r="F3" s="18" t="s">
        <v>37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5" x14ac:dyDescent="0.2">
      <c r="A4" s="19">
        <v>45791</v>
      </c>
      <c r="B4" s="20" t="s">
        <v>38</v>
      </c>
      <c r="C4" s="20">
        <v>7</v>
      </c>
      <c r="D4" s="20" t="s">
        <v>39</v>
      </c>
      <c r="E4" s="20">
        <v>10</v>
      </c>
      <c r="F4" s="18" t="s">
        <v>83</v>
      </c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5" x14ac:dyDescent="0.2">
      <c r="A5" s="19">
        <v>45793</v>
      </c>
      <c r="B5" s="20" t="s">
        <v>40</v>
      </c>
      <c r="C5" s="20">
        <v>9</v>
      </c>
      <c r="D5" s="20" t="s">
        <v>41</v>
      </c>
      <c r="E5" s="20">
        <v>8</v>
      </c>
      <c r="F5" s="18" t="s">
        <v>84</v>
      </c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5" x14ac:dyDescent="0.2">
      <c r="A6" s="19">
        <v>45797</v>
      </c>
      <c r="B6" s="20" t="s">
        <v>42</v>
      </c>
      <c r="C6" s="20">
        <v>11</v>
      </c>
      <c r="D6" s="20" t="s">
        <v>43</v>
      </c>
      <c r="E6" s="20">
        <v>15</v>
      </c>
      <c r="F6" s="18" t="s">
        <v>85</v>
      </c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5" x14ac:dyDescent="0.2">
      <c r="A7" s="19">
        <v>45798</v>
      </c>
      <c r="B7" s="20" t="s">
        <v>44</v>
      </c>
      <c r="C7" s="20">
        <v>11</v>
      </c>
      <c r="D7" s="20" t="s">
        <v>45</v>
      </c>
      <c r="E7" s="20">
        <v>9</v>
      </c>
      <c r="F7" s="18" t="s">
        <v>86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5" x14ac:dyDescent="0.2">
      <c r="A8" s="19">
        <v>45800</v>
      </c>
      <c r="B8" s="17" t="s">
        <v>46</v>
      </c>
      <c r="C8" s="20">
        <v>12</v>
      </c>
      <c r="D8" s="20" t="s">
        <v>47</v>
      </c>
      <c r="E8" s="20">
        <v>10</v>
      </c>
      <c r="F8" s="18" t="s">
        <v>87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5" x14ac:dyDescent="0.2">
      <c r="A9" s="19">
        <v>45804</v>
      </c>
      <c r="B9" s="20" t="s">
        <v>48</v>
      </c>
      <c r="C9" s="20">
        <v>12</v>
      </c>
      <c r="D9" s="20" t="s">
        <v>49</v>
      </c>
      <c r="E9" s="20">
        <v>8</v>
      </c>
      <c r="F9" s="18" t="s">
        <v>87</v>
      </c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5" x14ac:dyDescent="0.2">
      <c r="A10" s="19">
        <v>45814</v>
      </c>
      <c r="B10" s="20" t="s">
        <v>50</v>
      </c>
      <c r="C10" s="20">
        <v>8</v>
      </c>
      <c r="D10" s="20" t="s">
        <v>51</v>
      </c>
      <c r="E10" s="20">
        <v>10</v>
      </c>
      <c r="F10" s="18" t="s">
        <v>88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5" x14ac:dyDescent="0.2">
      <c r="A11" s="19">
        <v>45884</v>
      </c>
      <c r="B11" s="20" t="s">
        <v>89</v>
      </c>
      <c r="C11" s="20">
        <v>13</v>
      </c>
      <c r="D11" s="20" t="s">
        <v>52</v>
      </c>
      <c r="E11" s="20">
        <v>12</v>
      </c>
      <c r="F11" s="18" t="s">
        <v>90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5" x14ac:dyDescent="0.2">
      <c r="A12" s="19">
        <v>45891</v>
      </c>
      <c r="B12" s="20" t="s">
        <v>53</v>
      </c>
      <c r="C12" s="20">
        <v>13</v>
      </c>
      <c r="D12" s="20" t="s">
        <v>54</v>
      </c>
      <c r="E12" s="20">
        <v>15</v>
      </c>
      <c r="F12" s="18" t="s">
        <v>91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5" x14ac:dyDescent="0.2">
      <c r="A13" s="19">
        <v>45898</v>
      </c>
      <c r="B13" s="20" t="s">
        <v>55</v>
      </c>
      <c r="C13" s="20">
        <v>12</v>
      </c>
      <c r="D13" s="20" t="s">
        <v>56</v>
      </c>
      <c r="E13" s="20">
        <v>12</v>
      </c>
      <c r="F13" s="18" t="s">
        <v>57</v>
      </c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5" x14ac:dyDescent="0.2">
      <c r="A14" s="16">
        <v>45905</v>
      </c>
      <c r="B14" s="20" t="s">
        <v>58</v>
      </c>
      <c r="C14" s="17">
        <v>13</v>
      </c>
      <c r="D14" s="20" t="s">
        <v>59</v>
      </c>
      <c r="E14" s="20">
        <v>13</v>
      </c>
      <c r="F14" s="18" t="s">
        <v>60</v>
      </c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4" x14ac:dyDescent="0.15">
      <c r="A15" s="16">
        <v>45925</v>
      </c>
      <c r="B15" s="17" t="s">
        <v>61</v>
      </c>
      <c r="C15" s="17">
        <v>11</v>
      </c>
      <c r="D15" s="17" t="s">
        <v>62</v>
      </c>
      <c r="E15" s="17">
        <v>10</v>
      </c>
      <c r="F15" s="18" t="s">
        <v>63</v>
      </c>
      <c r="G15" s="17" t="s">
        <v>64</v>
      </c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45" x14ac:dyDescent="0.15">
      <c r="A16" s="16">
        <v>45926</v>
      </c>
      <c r="B16" s="17" t="s">
        <v>92</v>
      </c>
      <c r="C16" s="17">
        <v>13</v>
      </c>
      <c r="D16" s="17" t="s">
        <v>65</v>
      </c>
      <c r="E16" s="17">
        <v>14</v>
      </c>
      <c r="F16" s="18" t="s">
        <v>66</v>
      </c>
      <c r="G16" s="21" t="s">
        <v>93</v>
      </c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4" x14ac:dyDescent="0.15">
      <c r="A17" s="16">
        <v>45939</v>
      </c>
      <c r="B17" s="17" t="s">
        <v>94</v>
      </c>
      <c r="C17" s="17">
        <v>10</v>
      </c>
      <c r="D17" s="17" t="s">
        <v>67</v>
      </c>
      <c r="E17" s="17">
        <v>14</v>
      </c>
      <c r="F17" s="18" t="s">
        <v>68</v>
      </c>
      <c r="G17" s="17" t="s">
        <v>69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" x14ac:dyDescent="0.2">
      <c r="A18" s="19">
        <v>45947</v>
      </c>
      <c r="B18" s="20" t="s">
        <v>95</v>
      </c>
      <c r="C18" s="20">
        <v>18</v>
      </c>
      <c r="D18" s="20" t="s">
        <v>70</v>
      </c>
      <c r="E18" s="20">
        <v>5</v>
      </c>
      <c r="F18" s="18" t="s">
        <v>71</v>
      </c>
      <c r="G18" s="17" t="s">
        <v>72</v>
      </c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5" x14ac:dyDescent="0.2">
      <c r="A19" s="19">
        <v>45954</v>
      </c>
      <c r="B19" s="17" t="s">
        <v>73</v>
      </c>
      <c r="C19" s="17">
        <v>7</v>
      </c>
      <c r="D19" s="17" t="s">
        <v>96</v>
      </c>
      <c r="E19" s="17">
        <v>7</v>
      </c>
      <c r="F19" s="18" t="s">
        <v>74</v>
      </c>
      <c r="G19" s="17" t="s">
        <v>75</v>
      </c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5.75" customHeight="1" x14ac:dyDescent="0.15">
      <c r="A20" s="16">
        <v>45965</v>
      </c>
      <c r="B20" s="17" t="s">
        <v>97</v>
      </c>
      <c r="C20" s="17">
        <v>10</v>
      </c>
      <c r="D20" s="17" t="s">
        <v>76</v>
      </c>
      <c r="E20" s="17">
        <v>7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5.75" customHeight="1" x14ac:dyDescent="0.15">
      <c r="A21" s="16">
        <v>45968</v>
      </c>
      <c r="B21" s="17" t="s">
        <v>77</v>
      </c>
      <c r="C21" s="17">
        <v>13</v>
      </c>
      <c r="D21" s="17" t="s">
        <v>98</v>
      </c>
      <c r="E21" s="17">
        <v>14</v>
      </c>
      <c r="F21" s="15"/>
      <c r="G21" s="17" t="s">
        <v>99</v>
      </c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5.75" customHeight="1" x14ac:dyDescent="0.15">
      <c r="A22" s="16">
        <v>45986</v>
      </c>
      <c r="B22" s="17" t="s">
        <v>78</v>
      </c>
      <c r="C22" s="17">
        <v>8</v>
      </c>
      <c r="D22" s="17" t="s">
        <v>79</v>
      </c>
      <c r="E22" s="17">
        <v>8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5.75" customHeight="1" x14ac:dyDescent="0.15">
      <c r="A23" s="16">
        <v>46008</v>
      </c>
      <c r="B23" s="17" t="s">
        <v>100</v>
      </c>
      <c r="C23" s="17">
        <v>9</v>
      </c>
      <c r="D23" s="17" t="s">
        <v>101</v>
      </c>
      <c r="E23" s="17">
        <v>17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5.75" customHeight="1" x14ac:dyDescent="0.15">
      <c r="A24" s="16">
        <v>46013</v>
      </c>
      <c r="B24" s="17" t="s">
        <v>102</v>
      </c>
      <c r="C24" s="17">
        <v>7</v>
      </c>
      <c r="D24" s="17" t="s">
        <v>103</v>
      </c>
      <c r="E24" s="17">
        <v>7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5.75" customHeight="1" x14ac:dyDescent="0.15">
      <c r="A25" s="16">
        <v>46043</v>
      </c>
      <c r="B25" s="17" t="s">
        <v>104</v>
      </c>
      <c r="C25" s="17">
        <v>15</v>
      </c>
      <c r="D25" s="17" t="s">
        <v>105</v>
      </c>
      <c r="E25" s="17">
        <v>12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5.75" customHeight="1" x14ac:dyDescent="0.15">
      <c r="A26" s="16">
        <v>46050</v>
      </c>
      <c r="B26" s="17" t="s">
        <v>106</v>
      </c>
      <c r="C26" s="17">
        <v>4</v>
      </c>
      <c r="D26" s="17" t="s">
        <v>107</v>
      </c>
      <c r="E26" s="17">
        <v>9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5.75" customHeight="1" x14ac:dyDescent="0.15">
      <c r="A27" s="16">
        <v>46057</v>
      </c>
      <c r="B27" s="17" t="s">
        <v>108</v>
      </c>
      <c r="C27" s="17">
        <v>9</v>
      </c>
      <c r="D27" s="17" t="s">
        <v>109</v>
      </c>
      <c r="E27" s="17">
        <v>11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5.75" customHeight="1" x14ac:dyDescent="0.15">
      <c r="A28" s="16">
        <v>46064</v>
      </c>
      <c r="B28" s="17" t="s">
        <v>110</v>
      </c>
      <c r="C28" s="17">
        <v>5</v>
      </c>
      <c r="D28" s="17" t="s">
        <v>111</v>
      </c>
      <c r="E28" s="17">
        <v>7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5.75" customHeight="1" x14ac:dyDescent="0.15">
      <c r="A29" s="16">
        <v>46069</v>
      </c>
      <c r="B29" s="17" t="s">
        <v>112</v>
      </c>
      <c r="C29" s="17">
        <v>7</v>
      </c>
      <c r="D29" s="17" t="s">
        <v>113</v>
      </c>
      <c r="E29" s="17">
        <v>10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5.75" customHeight="1" x14ac:dyDescent="0.15">
      <c r="A30" s="16">
        <v>46070</v>
      </c>
      <c r="B30" s="17" t="s">
        <v>114</v>
      </c>
      <c r="C30" s="17">
        <v>9</v>
      </c>
      <c r="D30" s="17" t="s">
        <v>115</v>
      </c>
      <c r="E30" s="17">
        <v>12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5.75" customHeight="1" x14ac:dyDescent="0.15">
      <c r="A31" s="16">
        <v>46071</v>
      </c>
      <c r="B31" s="17" t="s">
        <v>116</v>
      </c>
      <c r="C31" s="17">
        <v>12</v>
      </c>
      <c r="D31" s="17" t="s">
        <v>117</v>
      </c>
      <c r="E31" s="17">
        <v>8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5.75" customHeight="1" x14ac:dyDescent="0.15">
      <c r="A32" s="16">
        <v>46078</v>
      </c>
      <c r="B32" s="17" t="s">
        <v>118</v>
      </c>
      <c r="C32" s="17">
        <v>10</v>
      </c>
      <c r="D32" s="17" t="s">
        <v>119</v>
      </c>
      <c r="E32" s="17">
        <v>14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5.75" customHeight="1" x14ac:dyDescent="0.15">
      <c r="A33" s="16">
        <v>46085</v>
      </c>
      <c r="B33" s="17" t="s">
        <v>120</v>
      </c>
      <c r="C33" s="17">
        <v>9</v>
      </c>
      <c r="D33" s="17" t="s">
        <v>121</v>
      </c>
      <c r="E33" s="17">
        <v>7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5.75" customHeight="1" x14ac:dyDescent="0.15">
      <c r="A34" s="16">
        <v>46090</v>
      </c>
      <c r="B34" s="17" t="s">
        <v>122</v>
      </c>
      <c r="C34" s="17">
        <v>16</v>
      </c>
      <c r="D34" s="17" t="s">
        <v>123</v>
      </c>
      <c r="E34" s="17">
        <v>15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5.75" customHeight="1" x14ac:dyDescent="0.15">
      <c r="A35" s="16">
        <v>46092</v>
      </c>
      <c r="B35" s="17" t="s">
        <v>124</v>
      </c>
      <c r="C35" s="17">
        <v>8</v>
      </c>
      <c r="D35" s="17" t="s">
        <v>125</v>
      </c>
      <c r="E35" s="17">
        <v>7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5.75" customHeight="1" x14ac:dyDescent="0.15">
      <c r="A36" s="16">
        <v>45734</v>
      </c>
      <c r="B36" s="17" t="s">
        <v>126</v>
      </c>
      <c r="C36" s="17">
        <v>10</v>
      </c>
      <c r="D36" s="17" t="s">
        <v>127</v>
      </c>
      <c r="E36" s="17">
        <v>6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5.75" customHeight="1" x14ac:dyDescent="0.1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5.75" customHeight="1" x14ac:dyDescent="0.1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5.75" customHeight="1" x14ac:dyDescent="0.1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5.75" customHeight="1" x14ac:dyDescent="0.1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5.75" customHeight="1" x14ac:dyDescent="0.1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5.75" customHeight="1" x14ac:dyDescent="0.1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5.75" customHeight="1" x14ac:dyDescent="0.1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5.75" customHeight="1" x14ac:dyDescent="0.1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5.75" customHeight="1" x14ac:dyDescent="0.1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5.75" customHeight="1" x14ac:dyDescent="0.1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5.75" customHeight="1" x14ac:dyDescent="0.1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5.75" customHeight="1" x14ac:dyDescent="0.1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5.75" customHeight="1" x14ac:dyDescent="0.1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5.75" customHeight="1" x14ac:dyDescent="0.1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5.75" customHeight="1" x14ac:dyDescent="0.1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5.75" customHeight="1" x14ac:dyDescent="0.1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5.75" customHeight="1" x14ac:dyDescent="0.1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5.75" customHeight="1" x14ac:dyDescent="0.1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5.75" customHeight="1" x14ac:dyDescent="0.1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5.75" customHeight="1" x14ac:dyDescent="0.1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5.75" customHeight="1" x14ac:dyDescent="0.1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5.75" customHeight="1" x14ac:dyDescent="0.1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5.75" customHeight="1" x14ac:dyDescent="0.1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5.75" customHeight="1" x14ac:dyDescent="0.1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5.75" customHeight="1" x14ac:dyDescent="0.1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5.75" customHeight="1" x14ac:dyDescent="0.1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5.75" customHeight="1" x14ac:dyDescent="0.1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3" x14ac:dyDescent="0.1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3" x14ac:dyDescent="0.1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3" x14ac:dyDescent="0.1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3" x14ac:dyDescent="0.1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3" x14ac:dyDescent="0.1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3" x14ac:dyDescent="0.1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3" x14ac:dyDescent="0.1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3" x14ac:dyDescent="0.1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3" x14ac:dyDescent="0.1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3" x14ac:dyDescent="0.1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3" x14ac:dyDescent="0.1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3" x14ac:dyDescent="0.1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3" x14ac:dyDescent="0.1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3" x14ac:dyDescent="0.1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3" x14ac:dyDescent="0.1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3" x14ac:dyDescent="0.1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3" x14ac:dyDescent="0.1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3" x14ac:dyDescent="0.1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3" x14ac:dyDescent="0.1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3" x14ac:dyDescent="0.1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3" x14ac:dyDescent="0.1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3" x14ac:dyDescent="0.1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3" x14ac:dyDescent="0.1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3" x14ac:dyDescent="0.1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3" x14ac:dyDescent="0.1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3" x14ac:dyDescent="0.1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3" x14ac:dyDescent="0.1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3" x14ac:dyDescent="0.1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3" x14ac:dyDescent="0.1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3" x14ac:dyDescent="0.1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3" x14ac:dyDescent="0.1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3" x14ac:dyDescent="0.1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3" x14ac:dyDescent="0.1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3" x14ac:dyDescent="0.1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3" x14ac:dyDescent="0.1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3" x14ac:dyDescent="0.1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3" x14ac:dyDescent="0.1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3" x14ac:dyDescent="0.1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3" x14ac:dyDescent="0.1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3" x14ac:dyDescent="0.1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3" x14ac:dyDescent="0.1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3" x14ac:dyDescent="0.1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3" x14ac:dyDescent="0.1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3" x14ac:dyDescent="0.1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3" x14ac:dyDescent="0.1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3" x14ac:dyDescent="0.1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3" x14ac:dyDescent="0.1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3" x14ac:dyDescent="0.1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3" x14ac:dyDescent="0.1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3" x14ac:dyDescent="0.1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3" x14ac:dyDescent="0.1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3" x14ac:dyDescent="0.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3" x14ac:dyDescent="0.1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3" x14ac:dyDescent="0.1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3" x14ac:dyDescent="0.1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3" x14ac:dyDescent="0.1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3" x14ac:dyDescent="0.1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3" x14ac:dyDescent="0.1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3" x14ac:dyDescent="0.1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3" x14ac:dyDescent="0.1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3" x14ac:dyDescent="0.1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3" x14ac:dyDescent="0.1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3" x14ac:dyDescent="0.1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3" x14ac:dyDescent="0.1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3" x14ac:dyDescent="0.1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3" x14ac:dyDescent="0.1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3" x14ac:dyDescent="0.1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3" x14ac:dyDescent="0.1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3" x14ac:dyDescent="0.1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3" x14ac:dyDescent="0.1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3" x14ac:dyDescent="0.1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3" x14ac:dyDescent="0.1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3" x14ac:dyDescent="0.1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3" x14ac:dyDescent="0.1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3" x14ac:dyDescent="0.1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3" x14ac:dyDescent="0.1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3" x14ac:dyDescent="0.1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3" x14ac:dyDescent="0.1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3" x14ac:dyDescent="0.1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3" x14ac:dyDescent="0.1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3" x14ac:dyDescent="0.1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3" x14ac:dyDescent="0.1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3" x14ac:dyDescent="0.1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3" x14ac:dyDescent="0.1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3" x14ac:dyDescent="0.1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3" x14ac:dyDescent="0.1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3" x14ac:dyDescent="0.1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3" x14ac:dyDescent="0.1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3" x14ac:dyDescent="0.1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3" x14ac:dyDescent="0.1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3" x14ac:dyDescent="0.1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3" x14ac:dyDescent="0.1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3" x14ac:dyDescent="0.1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3" x14ac:dyDescent="0.1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3" x14ac:dyDescent="0.1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3" x14ac:dyDescent="0.1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3" x14ac:dyDescent="0.1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3" x14ac:dyDescent="0.1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3" x14ac:dyDescent="0.1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3" x14ac:dyDescent="0.1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3" x14ac:dyDescent="0.1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3" x14ac:dyDescent="0.1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3" x14ac:dyDescent="0.1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3" x14ac:dyDescent="0.1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3" x14ac:dyDescent="0.1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3" x14ac:dyDescent="0.1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3" x14ac:dyDescent="0.1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3" x14ac:dyDescent="0.1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3" x14ac:dyDescent="0.1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3" x14ac:dyDescent="0.1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3" x14ac:dyDescent="0.1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3" x14ac:dyDescent="0.1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3" x14ac:dyDescent="0.1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3" x14ac:dyDescent="0.1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3" x14ac:dyDescent="0.1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3" x14ac:dyDescent="0.1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3" x14ac:dyDescent="0.1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3" x14ac:dyDescent="0.1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3" x14ac:dyDescent="0.1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3" x14ac:dyDescent="0.1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3" x14ac:dyDescent="0.1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3" x14ac:dyDescent="0.1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3" x14ac:dyDescent="0.1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3" x14ac:dyDescent="0.15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3" x14ac:dyDescent="0.15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3" x14ac:dyDescent="0.15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3" x14ac:dyDescent="0.15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3" x14ac:dyDescent="0.15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3" x14ac:dyDescent="0.15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3" x14ac:dyDescent="0.1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3" x14ac:dyDescent="0.15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3" x14ac:dyDescent="0.1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3" x14ac:dyDescent="0.15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3" x14ac:dyDescent="0.15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3" x14ac:dyDescent="0.15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3" x14ac:dyDescent="0.15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3" x14ac:dyDescent="0.15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3" x14ac:dyDescent="0.15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3" x14ac:dyDescent="0.15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3" x14ac:dyDescent="0.1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3" x14ac:dyDescent="0.1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3" x14ac:dyDescent="0.1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3" x14ac:dyDescent="0.15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3" x14ac:dyDescent="0.15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3" x14ac:dyDescent="0.15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3" x14ac:dyDescent="0.1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3" x14ac:dyDescent="0.15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3" x14ac:dyDescent="0.15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3" x14ac:dyDescent="0.15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3" x14ac:dyDescent="0.15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3" x14ac:dyDescent="0.15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3" x14ac:dyDescent="0.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3" x14ac:dyDescent="0.15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3" x14ac:dyDescent="0.15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3" x14ac:dyDescent="0.15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3" x14ac:dyDescent="0.15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3" x14ac:dyDescent="0.15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3" x14ac:dyDescent="0.15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3" x14ac:dyDescent="0.15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3" x14ac:dyDescent="0.15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3" x14ac:dyDescent="0.15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3" x14ac:dyDescent="0.1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3" x14ac:dyDescent="0.15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3" x14ac:dyDescent="0.15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3" x14ac:dyDescent="0.15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3" x14ac:dyDescent="0.15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3" x14ac:dyDescent="0.15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3" x14ac:dyDescent="0.15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3" x14ac:dyDescent="0.15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3" x14ac:dyDescent="0.15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3" x14ac:dyDescent="0.15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3" x14ac:dyDescent="0.1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3" x14ac:dyDescent="0.15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3" x14ac:dyDescent="0.15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3" x14ac:dyDescent="0.15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3" x14ac:dyDescent="0.15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3" x14ac:dyDescent="0.15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3" x14ac:dyDescent="0.15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3" x14ac:dyDescent="0.15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3" x14ac:dyDescent="0.15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3" x14ac:dyDescent="0.15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3" x14ac:dyDescent="0.1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3" x14ac:dyDescent="0.15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3" x14ac:dyDescent="0.15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3" x14ac:dyDescent="0.15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3" x14ac:dyDescent="0.15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3" x14ac:dyDescent="0.15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3" x14ac:dyDescent="0.15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3" x14ac:dyDescent="0.15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3" x14ac:dyDescent="0.15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3" x14ac:dyDescent="0.15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3" x14ac:dyDescent="0.1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3" x14ac:dyDescent="0.15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3" x14ac:dyDescent="0.15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3" x14ac:dyDescent="0.15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3" x14ac:dyDescent="0.15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3" x14ac:dyDescent="0.15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3" x14ac:dyDescent="0.15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3" x14ac:dyDescent="0.15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3" x14ac:dyDescent="0.15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3" x14ac:dyDescent="0.15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3" x14ac:dyDescent="0.1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3" x14ac:dyDescent="0.15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3" x14ac:dyDescent="0.15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3" x14ac:dyDescent="0.15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3" x14ac:dyDescent="0.15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3" x14ac:dyDescent="0.15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3" x14ac:dyDescent="0.15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3" x14ac:dyDescent="0.15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3" x14ac:dyDescent="0.15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3" x14ac:dyDescent="0.15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3" x14ac:dyDescent="0.1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3" x14ac:dyDescent="0.15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3" x14ac:dyDescent="0.15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3" x14ac:dyDescent="0.15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3" x14ac:dyDescent="0.15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3" x14ac:dyDescent="0.15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3" x14ac:dyDescent="0.15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3" x14ac:dyDescent="0.15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3" x14ac:dyDescent="0.15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3" x14ac:dyDescent="0.15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3" x14ac:dyDescent="0.1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3" x14ac:dyDescent="0.15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3" x14ac:dyDescent="0.15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3" x14ac:dyDescent="0.15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3" x14ac:dyDescent="0.15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3" x14ac:dyDescent="0.15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3" x14ac:dyDescent="0.15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3" x14ac:dyDescent="0.15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3" x14ac:dyDescent="0.15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3" x14ac:dyDescent="0.15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3" x14ac:dyDescent="0.1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3" x14ac:dyDescent="0.15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3" x14ac:dyDescent="0.15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3" x14ac:dyDescent="0.15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3" x14ac:dyDescent="0.15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3" x14ac:dyDescent="0.15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3" x14ac:dyDescent="0.15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3" x14ac:dyDescent="0.15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3" x14ac:dyDescent="0.1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3" x14ac:dyDescent="0.1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3" x14ac:dyDescent="0.1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3" x14ac:dyDescent="0.1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3" x14ac:dyDescent="0.1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3" x14ac:dyDescent="0.1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3" x14ac:dyDescent="0.1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3" x14ac:dyDescent="0.1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3" x14ac:dyDescent="0.1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3" x14ac:dyDescent="0.1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3" x14ac:dyDescent="0.1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3" x14ac:dyDescent="0.1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3" x14ac:dyDescent="0.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3" x14ac:dyDescent="0.1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3" x14ac:dyDescent="0.1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3" x14ac:dyDescent="0.1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3" x14ac:dyDescent="0.1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3" x14ac:dyDescent="0.1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3" x14ac:dyDescent="0.1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3" x14ac:dyDescent="0.1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3" x14ac:dyDescent="0.1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3" x14ac:dyDescent="0.1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3" x14ac:dyDescent="0.1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3" x14ac:dyDescent="0.1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3" x14ac:dyDescent="0.15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3" x14ac:dyDescent="0.15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3" x14ac:dyDescent="0.15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3" x14ac:dyDescent="0.15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3" x14ac:dyDescent="0.15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3" x14ac:dyDescent="0.15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3" x14ac:dyDescent="0.15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3" x14ac:dyDescent="0.15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3" x14ac:dyDescent="0.1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3" x14ac:dyDescent="0.15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3" x14ac:dyDescent="0.15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3" x14ac:dyDescent="0.15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3" x14ac:dyDescent="0.15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3" x14ac:dyDescent="0.15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3" x14ac:dyDescent="0.15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3" x14ac:dyDescent="0.15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3" x14ac:dyDescent="0.15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3" x14ac:dyDescent="0.15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3" x14ac:dyDescent="0.1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3" x14ac:dyDescent="0.15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3" x14ac:dyDescent="0.15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3" x14ac:dyDescent="0.15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3" x14ac:dyDescent="0.15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3" x14ac:dyDescent="0.15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3" x14ac:dyDescent="0.15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3" x14ac:dyDescent="0.15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3" x14ac:dyDescent="0.15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3" x14ac:dyDescent="0.15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3" x14ac:dyDescent="0.1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3" x14ac:dyDescent="0.15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3" x14ac:dyDescent="0.15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3" x14ac:dyDescent="0.15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3" x14ac:dyDescent="0.15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3" x14ac:dyDescent="0.15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3" x14ac:dyDescent="0.15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3" x14ac:dyDescent="0.15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3" x14ac:dyDescent="0.15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3" x14ac:dyDescent="0.15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3" x14ac:dyDescent="0.1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3" x14ac:dyDescent="0.15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3" x14ac:dyDescent="0.15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3" x14ac:dyDescent="0.15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3" x14ac:dyDescent="0.15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3" x14ac:dyDescent="0.15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3" x14ac:dyDescent="0.15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3" x14ac:dyDescent="0.15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3" x14ac:dyDescent="0.15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3" x14ac:dyDescent="0.15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3" x14ac:dyDescent="0.1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3" x14ac:dyDescent="0.15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3" x14ac:dyDescent="0.15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3" x14ac:dyDescent="0.15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3" x14ac:dyDescent="0.15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3" x14ac:dyDescent="0.15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3" x14ac:dyDescent="0.15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3" x14ac:dyDescent="0.15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3" x14ac:dyDescent="0.15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3" x14ac:dyDescent="0.15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3" x14ac:dyDescent="0.1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3" x14ac:dyDescent="0.15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3" x14ac:dyDescent="0.15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3" x14ac:dyDescent="0.15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3" x14ac:dyDescent="0.15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3" x14ac:dyDescent="0.15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3" x14ac:dyDescent="0.15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3" x14ac:dyDescent="0.15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3" x14ac:dyDescent="0.15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3" x14ac:dyDescent="0.15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3" x14ac:dyDescent="0.1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3" x14ac:dyDescent="0.15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3" x14ac:dyDescent="0.15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3" x14ac:dyDescent="0.15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3" x14ac:dyDescent="0.15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3" x14ac:dyDescent="0.15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3" x14ac:dyDescent="0.15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3" x14ac:dyDescent="0.15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3" x14ac:dyDescent="0.15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3" x14ac:dyDescent="0.15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3" x14ac:dyDescent="0.1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3" x14ac:dyDescent="0.15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3" x14ac:dyDescent="0.15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3" x14ac:dyDescent="0.15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3" x14ac:dyDescent="0.15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3" x14ac:dyDescent="0.15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3" x14ac:dyDescent="0.15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3" x14ac:dyDescent="0.15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3" x14ac:dyDescent="0.15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3" x14ac:dyDescent="0.15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3" x14ac:dyDescent="0.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3" x14ac:dyDescent="0.15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3" x14ac:dyDescent="0.15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3" x14ac:dyDescent="0.15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3" x14ac:dyDescent="0.15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3" x14ac:dyDescent="0.15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3" x14ac:dyDescent="0.15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3" x14ac:dyDescent="0.15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3" x14ac:dyDescent="0.15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3" x14ac:dyDescent="0.15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3" x14ac:dyDescent="0.1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3" x14ac:dyDescent="0.15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3" x14ac:dyDescent="0.15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3" x14ac:dyDescent="0.15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3" x14ac:dyDescent="0.15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3" x14ac:dyDescent="0.15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3" x14ac:dyDescent="0.15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3" x14ac:dyDescent="0.15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3" x14ac:dyDescent="0.15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3" x14ac:dyDescent="0.15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3" x14ac:dyDescent="0.1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3" x14ac:dyDescent="0.15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3" x14ac:dyDescent="0.15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3" x14ac:dyDescent="0.15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3" x14ac:dyDescent="0.15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3" x14ac:dyDescent="0.15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3" x14ac:dyDescent="0.15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3" x14ac:dyDescent="0.15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3" x14ac:dyDescent="0.15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3" x14ac:dyDescent="0.15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3" x14ac:dyDescent="0.1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3" x14ac:dyDescent="0.15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3" x14ac:dyDescent="0.15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3" x14ac:dyDescent="0.15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3" x14ac:dyDescent="0.15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3" x14ac:dyDescent="0.15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3" x14ac:dyDescent="0.15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3" x14ac:dyDescent="0.15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3" x14ac:dyDescent="0.15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3" x14ac:dyDescent="0.15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3" x14ac:dyDescent="0.1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3" x14ac:dyDescent="0.15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3" x14ac:dyDescent="0.15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3" x14ac:dyDescent="0.15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3" x14ac:dyDescent="0.15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3" x14ac:dyDescent="0.15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3" x14ac:dyDescent="0.15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3" x14ac:dyDescent="0.15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3" x14ac:dyDescent="0.15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3" x14ac:dyDescent="0.15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3" x14ac:dyDescent="0.1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3" x14ac:dyDescent="0.15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3" x14ac:dyDescent="0.15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3" x14ac:dyDescent="0.15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3" x14ac:dyDescent="0.15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3" x14ac:dyDescent="0.15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3" x14ac:dyDescent="0.15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3" x14ac:dyDescent="0.15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3" x14ac:dyDescent="0.15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3" x14ac:dyDescent="0.15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3" x14ac:dyDescent="0.1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3" x14ac:dyDescent="0.15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3" x14ac:dyDescent="0.15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3" x14ac:dyDescent="0.15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3" x14ac:dyDescent="0.15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3" x14ac:dyDescent="0.15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3" x14ac:dyDescent="0.15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3" x14ac:dyDescent="0.15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3" x14ac:dyDescent="0.15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3" x14ac:dyDescent="0.15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3" x14ac:dyDescent="0.1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3" x14ac:dyDescent="0.15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3" x14ac:dyDescent="0.15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3" x14ac:dyDescent="0.15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3" x14ac:dyDescent="0.15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3" x14ac:dyDescent="0.15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3" x14ac:dyDescent="0.15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3" x14ac:dyDescent="0.15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3" x14ac:dyDescent="0.15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3" x14ac:dyDescent="0.15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3" x14ac:dyDescent="0.1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3" x14ac:dyDescent="0.15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3" x14ac:dyDescent="0.15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3" x14ac:dyDescent="0.15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3" x14ac:dyDescent="0.15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3" x14ac:dyDescent="0.15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3" x14ac:dyDescent="0.15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3" x14ac:dyDescent="0.15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3" x14ac:dyDescent="0.15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3" x14ac:dyDescent="0.15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3" x14ac:dyDescent="0.1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3" x14ac:dyDescent="0.15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3" x14ac:dyDescent="0.15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3" x14ac:dyDescent="0.15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3" x14ac:dyDescent="0.15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3" x14ac:dyDescent="0.15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3" x14ac:dyDescent="0.15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3" x14ac:dyDescent="0.15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3" x14ac:dyDescent="0.15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3" x14ac:dyDescent="0.15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3" x14ac:dyDescent="0.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3" x14ac:dyDescent="0.15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3" x14ac:dyDescent="0.15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3" x14ac:dyDescent="0.15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3" x14ac:dyDescent="0.15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3" x14ac:dyDescent="0.15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3" x14ac:dyDescent="0.15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3" x14ac:dyDescent="0.15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3" x14ac:dyDescent="0.15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3" x14ac:dyDescent="0.15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3" x14ac:dyDescent="0.1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3" x14ac:dyDescent="0.15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3" x14ac:dyDescent="0.15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3" x14ac:dyDescent="0.15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3" x14ac:dyDescent="0.15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3" x14ac:dyDescent="0.15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3" x14ac:dyDescent="0.15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3" x14ac:dyDescent="0.15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3" x14ac:dyDescent="0.15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3" x14ac:dyDescent="0.15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3" x14ac:dyDescent="0.1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3" x14ac:dyDescent="0.15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3" x14ac:dyDescent="0.15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3" x14ac:dyDescent="0.15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3" x14ac:dyDescent="0.15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3" x14ac:dyDescent="0.15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3" x14ac:dyDescent="0.15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3" x14ac:dyDescent="0.15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3" x14ac:dyDescent="0.15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3" x14ac:dyDescent="0.15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3" x14ac:dyDescent="0.1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3" x14ac:dyDescent="0.15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3" x14ac:dyDescent="0.15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3" x14ac:dyDescent="0.15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3" x14ac:dyDescent="0.15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3" x14ac:dyDescent="0.15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3" x14ac:dyDescent="0.15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3" x14ac:dyDescent="0.15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3" x14ac:dyDescent="0.15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3" x14ac:dyDescent="0.15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3" x14ac:dyDescent="0.1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3" x14ac:dyDescent="0.15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3" x14ac:dyDescent="0.15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3" x14ac:dyDescent="0.15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3" x14ac:dyDescent="0.15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3" x14ac:dyDescent="0.15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3" x14ac:dyDescent="0.15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3" x14ac:dyDescent="0.15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3" x14ac:dyDescent="0.15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3" x14ac:dyDescent="0.15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3" x14ac:dyDescent="0.1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3" x14ac:dyDescent="0.15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3" x14ac:dyDescent="0.15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3" x14ac:dyDescent="0.15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3" x14ac:dyDescent="0.15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3" x14ac:dyDescent="0.15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3" x14ac:dyDescent="0.15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3" x14ac:dyDescent="0.15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3" x14ac:dyDescent="0.15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3" x14ac:dyDescent="0.15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3" x14ac:dyDescent="0.1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3" x14ac:dyDescent="0.15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3" x14ac:dyDescent="0.15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3" x14ac:dyDescent="0.15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3" x14ac:dyDescent="0.15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3" x14ac:dyDescent="0.15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3" x14ac:dyDescent="0.15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3" x14ac:dyDescent="0.15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3" x14ac:dyDescent="0.15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3" x14ac:dyDescent="0.15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3" x14ac:dyDescent="0.1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3" x14ac:dyDescent="0.15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3" x14ac:dyDescent="0.15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3" x14ac:dyDescent="0.15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3" x14ac:dyDescent="0.15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3" x14ac:dyDescent="0.15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3" x14ac:dyDescent="0.15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3" x14ac:dyDescent="0.15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3" x14ac:dyDescent="0.15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3" x14ac:dyDescent="0.15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3" x14ac:dyDescent="0.1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3" x14ac:dyDescent="0.15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3" x14ac:dyDescent="0.15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3" x14ac:dyDescent="0.15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3" x14ac:dyDescent="0.15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3" x14ac:dyDescent="0.15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3" x14ac:dyDescent="0.15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3" x14ac:dyDescent="0.15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3" x14ac:dyDescent="0.15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3" x14ac:dyDescent="0.15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3" x14ac:dyDescent="0.1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3" x14ac:dyDescent="0.15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3" x14ac:dyDescent="0.15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3" x14ac:dyDescent="0.15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3" x14ac:dyDescent="0.15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3" x14ac:dyDescent="0.15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3" x14ac:dyDescent="0.15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3" x14ac:dyDescent="0.15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3" x14ac:dyDescent="0.15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3" x14ac:dyDescent="0.15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3" x14ac:dyDescent="0.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3" x14ac:dyDescent="0.15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3" x14ac:dyDescent="0.15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3" x14ac:dyDescent="0.15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3" x14ac:dyDescent="0.15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3" x14ac:dyDescent="0.15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3" x14ac:dyDescent="0.15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3" x14ac:dyDescent="0.15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3" x14ac:dyDescent="0.15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3" x14ac:dyDescent="0.15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3" x14ac:dyDescent="0.1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3" x14ac:dyDescent="0.15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3" x14ac:dyDescent="0.15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3" x14ac:dyDescent="0.15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3" x14ac:dyDescent="0.15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3" x14ac:dyDescent="0.15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3" x14ac:dyDescent="0.15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3" x14ac:dyDescent="0.15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3" x14ac:dyDescent="0.15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3" x14ac:dyDescent="0.15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3" x14ac:dyDescent="0.1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3" x14ac:dyDescent="0.15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3" x14ac:dyDescent="0.15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3" x14ac:dyDescent="0.15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3" x14ac:dyDescent="0.15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3" x14ac:dyDescent="0.15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3" x14ac:dyDescent="0.15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3" x14ac:dyDescent="0.15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3" x14ac:dyDescent="0.15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3" x14ac:dyDescent="0.15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3" x14ac:dyDescent="0.1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3" x14ac:dyDescent="0.15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3" x14ac:dyDescent="0.15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3" x14ac:dyDescent="0.15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3" x14ac:dyDescent="0.15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3" x14ac:dyDescent="0.15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3" x14ac:dyDescent="0.15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3" x14ac:dyDescent="0.15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3" x14ac:dyDescent="0.15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3" x14ac:dyDescent="0.15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3" x14ac:dyDescent="0.1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3" x14ac:dyDescent="0.15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3" x14ac:dyDescent="0.15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3" x14ac:dyDescent="0.15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3" x14ac:dyDescent="0.15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3" x14ac:dyDescent="0.15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3" x14ac:dyDescent="0.15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3" x14ac:dyDescent="0.15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3" x14ac:dyDescent="0.15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3" x14ac:dyDescent="0.15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3" x14ac:dyDescent="0.1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3" x14ac:dyDescent="0.15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3" x14ac:dyDescent="0.15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3" x14ac:dyDescent="0.15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3" x14ac:dyDescent="0.15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3" x14ac:dyDescent="0.15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3" x14ac:dyDescent="0.15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3" x14ac:dyDescent="0.15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3" x14ac:dyDescent="0.15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3" x14ac:dyDescent="0.15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3" x14ac:dyDescent="0.1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3" x14ac:dyDescent="0.15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3" x14ac:dyDescent="0.15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3" x14ac:dyDescent="0.15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3" x14ac:dyDescent="0.15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3" x14ac:dyDescent="0.15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3" x14ac:dyDescent="0.15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3" x14ac:dyDescent="0.15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3" x14ac:dyDescent="0.15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3" x14ac:dyDescent="0.15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3" x14ac:dyDescent="0.1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3" x14ac:dyDescent="0.15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3" x14ac:dyDescent="0.15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3" x14ac:dyDescent="0.15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3" x14ac:dyDescent="0.15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3" x14ac:dyDescent="0.15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3" x14ac:dyDescent="0.15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3" x14ac:dyDescent="0.15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3" x14ac:dyDescent="0.15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3" x14ac:dyDescent="0.15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3" x14ac:dyDescent="0.1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3" x14ac:dyDescent="0.15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3" x14ac:dyDescent="0.15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3" x14ac:dyDescent="0.15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3" x14ac:dyDescent="0.15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3" x14ac:dyDescent="0.15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3" x14ac:dyDescent="0.15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3" x14ac:dyDescent="0.15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3" x14ac:dyDescent="0.15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3" x14ac:dyDescent="0.15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3" x14ac:dyDescent="0.1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3" x14ac:dyDescent="0.15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3" x14ac:dyDescent="0.15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3" x14ac:dyDescent="0.15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3" x14ac:dyDescent="0.15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3" x14ac:dyDescent="0.15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3" x14ac:dyDescent="0.15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3" x14ac:dyDescent="0.15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3" x14ac:dyDescent="0.15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3" x14ac:dyDescent="0.15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3" x14ac:dyDescent="0.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3" x14ac:dyDescent="0.15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3" x14ac:dyDescent="0.15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3" x14ac:dyDescent="0.15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3" x14ac:dyDescent="0.15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3" x14ac:dyDescent="0.15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3" x14ac:dyDescent="0.15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3" x14ac:dyDescent="0.15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3" x14ac:dyDescent="0.15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3" x14ac:dyDescent="0.15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3" x14ac:dyDescent="0.1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3" x14ac:dyDescent="0.15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3" x14ac:dyDescent="0.15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3" x14ac:dyDescent="0.15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3" x14ac:dyDescent="0.15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3" x14ac:dyDescent="0.15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3" x14ac:dyDescent="0.15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3" x14ac:dyDescent="0.15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3" x14ac:dyDescent="0.15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3" x14ac:dyDescent="0.15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3" x14ac:dyDescent="0.1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3" x14ac:dyDescent="0.15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3" x14ac:dyDescent="0.15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3" x14ac:dyDescent="0.15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3" x14ac:dyDescent="0.15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3" x14ac:dyDescent="0.15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3" x14ac:dyDescent="0.15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3" x14ac:dyDescent="0.15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3" x14ac:dyDescent="0.15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3" x14ac:dyDescent="0.15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3" x14ac:dyDescent="0.1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3" x14ac:dyDescent="0.15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3" x14ac:dyDescent="0.15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3" x14ac:dyDescent="0.15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3" x14ac:dyDescent="0.15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3" x14ac:dyDescent="0.15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3" x14ac:dyDescent="0.15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3" x14ac:dyDescent="0.15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3" x14ac:dyDescent="0.15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3" x14ac:dyDescent="0.15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3" x14ac:dyDescent="0.1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3" x14ac:dyDescent="0.15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3" x14ac:dyDescent="0.15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3" x14ac:dyDescent="0.15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3" x14ac:dyDescent="0.15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3" x14ac:dyDescent="0.15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3" x14ac:dyDescent="0.15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3" x14ac:dyDescent="0.15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3" x14ac:dyDescent="0.15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3" x14ac:dyDescent="0.15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3" x14ac:dyDescent="0.1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3" x14ac:dyDescent="0.15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3" x14ac:dyDescent="0.15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3" x14ac:dyDescent="0.15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3" x14ac:dyDescent="0.15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3" x14ac:dyDescent="0.15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3" x14ac:dyDescent="0.15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3" x14ac:dyDescent="0.15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3" x14ac:dyDescent="0.15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3" x14ac:dyDescent="0.15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3" x14ac:dyDescent="0.1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3" x14ac:dyDescent="0.15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3" x14ac:dyDescent="0.15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3" x14ac:dyDescent="0.15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3" x14ac:dyDescent="0.15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3" x14ac:dyDescent="0.15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3" x14ac:dyDescent="0.15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3" x14ac:dyDescent="0.15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3" x14ac:dyDescent="0.15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3" x14ac:dyDescent="0.15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3" x14ac:dyDescent="0.1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3" x14ac:dyDescent="0.15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3" x14ac:dyDescent="0.15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3" x14ac:dyDescent="0.15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3" x14ac:dyDescent="0.15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3" x14ac:dyDescent="0.15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3" x14ac:dyDescent="0.15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3" x14ac:dyDescent="0.15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3" x14ac:dyDescent="0.15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3" x14ac:dyDescent="0.15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3" x14ac:dyDescent="0.1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3" x14ac:dyDescent="0.15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3" x14ac:dyDescent="0.15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3" x14ac:dyDescent="0.15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3" x14ac:dyDescent="0.15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3" x14ac:dyDescent="0.15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3" x14ac:dyDescent="0.15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3" x14ac:dyDescent="0.15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3" x14ac:dyDescent="0.15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3" x14ac:dyDescent="0.15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3" x14ac:dyDescent="0.1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3" x14ac:dyDescent="0.15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3" x14ac:dyDescent="0.15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3" x14ac:dyDescent="0.15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3" x14ac:dyDescent="0.15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3" x14ac:dyDescent="0.15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3" x14ac:dyDescent="0.15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3" x14ac:dyDescent="0.15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3" x14ac:dyDescent="0.15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3" x14ac:dyDescent="0.15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3" x14ac:dyDescent="0.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3" x14ac:dyDescent="0.15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3" x14ac:dyDescent="0.15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3" x14ac:dyDescent="0.15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3" x14ac:dyDescent="0.15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3" x14ac:dyDescent="0.15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3" x14ac:dyDescent="0.15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3" x14ac:dyDescent="0.15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3" x14ac:dyDescent="0.15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3" x14ac:dyDescent="0.15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3" x14ac:dyDescent="0.1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3" x14ac:dyDescent="0.15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3" x14ac:dyDescent="0.15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3" x14ac:dyDescent="0.15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3" x14ac:dyDescent="0.15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3" x14ac:dyDescent="0.15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3" x14ac:dyDescent="0.15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3" x14ac:dyDescent="0.15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3" x14ac:dyDescent="0.15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3" x14ac:dyDescent="0.15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3" x14ac:dyDescent="0.1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3" x14ac:dyDescent="0.15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3" x14ac:dyDescent="0.15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3" x14ac:dyDescent="0.15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3" x14ac:dyDescent="0.15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3" x14ac:dyDescent="0.15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3" x14ac:dyDescent="0.15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3" x14ac:dyDescent="0.15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3" x14ac:dyDescent="0.15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3" x14ac:dyDescent="0.15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3" x14ac:dyDescent="0.1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3" x14ac:dyDescent="0.15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3" x14ac:dyDescent="0.15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3" x14ac:dyDescent="0.15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3" x14ac:dyDescent="0.15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3" x14ac:dyDescent="0.15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3" x14ac:dyDescent="0.15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3" x14ac:dyDescent="0.15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3" x14ac:dyDescent="0.15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3" x14ac:dyDescent="0.15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3" x14ac:dyDescent="0.1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3" x14ac:dyDescent="0.15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3" x14ac:dyDescent="0.15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3" x14ac:dyDescent="0.15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3" x14ac:dyDescent="0.15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3" x14ac:dyDescent="0.15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3" x14ac:dyDescent="0.15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3" x14ac:dyDescent="0.15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3" x14ac:dyDescent="0.15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3" x14ac:dyDescent="0.15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3" x14ac:dyDescent="0.1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3" x14ac:dyDescent="0.15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3" x14ac:dyDescent="0.15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3" x14ac:dyDescent="0.15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3" x14ac:dyDescent="0.15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3" x14ac:dyDescent="0.15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3" x14ac:dyDescent="0.15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3" x14ac:dyDescent="0.15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3" x14ac:dyDescent="0.15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3" x14ac:dyDescent="0.15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3" x14ac:dyDescent="0.1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3" x14ac:dyDescent="0.15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3" x14ac:dyDescent="0.15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3" x14ac:dyDescent="0.15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3" x14ac:dyDescent="0.15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3" x14ac:dyDescent="0.15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3" x14ac:dyDescent="0.15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3" x14ac:dyDescent="0.15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3" x14ac:dyDescent="0.15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3" x14ac:dyDescent="0.15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3" x14ac:dyDescent="0.1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3" x14ac:dyDescent="0.15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3" x14ac:dyDescent="0.15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3" x14ac:dyDescent="0.15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3" x14ac:dyDescent="0.15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3" x14ac:dyDescent="0.15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3" x14ac:dyDescent="0.15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3" x14ac:dyDescent="0.15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3" x14ac:dyDescent="0.15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3" x14ac:dyDescent="0.15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3" x14ac:dyDescent="0.1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3" x14ac:dyDescent="0.15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3" x14ac:dyDescent="0.15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3" x14ac:dyDescent="0.15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3" x14ac:dyDescent="0.15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3" x14ac:dyDescent="0.15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3" x14ac:dyDescent="0.15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3" x14ac:dyDescent="0.15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3" x14ac:dyDescent="0.15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3" x14ac:dyDescent="0.15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3" x14ac:dyDescent="0.1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3" x14ac:dyDescent="0.15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3" x14ac:dyDescent="0.15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3" x14ac:dyDescent="0.15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3" x14ac:dyDescent="0.15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3" x14ac:dyDescent="0.15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3" x14ac:dyDescent="0.15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3" x14ac:dyDescent="0.15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3" x14ac:dyDescent="0.15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3" x14ac:dyDescent="0.15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3" x14ac:dyDescent="0.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3" x14ac:dyDescent="0.15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3" x14ac:dyDescent="0.15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3" x14ac:dyDescent="0.15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3" x14ac:dyDescent="0.15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3" x14ac:dyDescent="0.15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3" x14ac:dyDescent="0.15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3" x14ac:dyDescent="0.15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3" x14ac:dyDescent="0.15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3" x14ac:dyDescent="0.15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3" x14ac:dyDescent="0.1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3" x14ac:dyDescent="0.15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3" x14ac:dyDescent="0.15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3" x14ac:dyDescent="0.15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3" x14ac:dyDescent="0.15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3" x14ac:dyDescent="0.15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3" x14ac:dyDescent="0.15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3" x14ac:dyDescent="0.15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3" x14ac:dyDescent="0.15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3" x14ac:dyDescent="0.15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3" x14ac:dyDescent="0.1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3" x14ac:dyDescent="0.15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3" x14ac:dyDescent="0.15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3" x14ac:dyDescent="0.15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3" x14ac:dyDescent="0.15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3" x14ac:dyDescent="0.15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3" x14ac:dyDescent="0.15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3" x14ac:dyDescent="0.15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3" x14ac:dyDescent="0.15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3" x14ac:dyDescent="0.15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3" x14ac:dyDescent="0.1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3" x14ac:dyDescent="0.15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3" x14ac:dyDescent="0.15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3" x14ac:dyDescent="0.15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3" x14ac:dyDescent="0.15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3" x14ac:dyDescent="0.15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3" x14ac:dyDescent="0.15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3" x14ac:dyDescent="0.15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3" x14ac:dyDescent="0.15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3" x14ac:dyDescent="0.15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3" x14ac:dyDescent="0.1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3" x14ac:dyDescent="0.15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3" x14ac:dyDescent="0.15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3" x14ac:dyDescent="0.15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3" x14ac:dyDescent="0.15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3" x14ac:dyDescent="0.15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3" x14ac:dyDescent="0.15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3" x14ac:dyDescent="0.15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3" x14ac:dyDescent="0.15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3" x14ac:dyDescent="0.15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3" x14ac:dyDescent="0.1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3" x14ac:dyDescent="0.15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3" x14ac:dyDescent="0.15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3" x14ac:dyDescent="0.15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3" x14ac:dyDescent="0.15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3" x14ac:dyDescent="0.15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3" x14ac:dyDescent="0.15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3" x14ac:dyDescent="0.15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3" x14ac:dyDescent="0.15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3" x14ac:dyDescent="0.15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3" x14ac:dyDescent="0.1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3" x14ac:dyDescent="0.15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3" x14ac:dyDescent="0.15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3" x14ac:dyDescent="0.15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3" x14ac:dyDescent="0.15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3" x14ac:dyDescent="0.15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3" x14ac:dyDescent="0.15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3" x14ac:dyDescent="0.15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3" x14ac:dyDescent="0.15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3" x14ac:dyDescent="0.15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13" x14ac:dyDescent="0.1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13" x14ac:dyDescent="0.15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13" x14ac:dyDescent="0.15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13" x14ac:dyDescent="0.15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13" x14ac:dyDescent="0.15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13" x14ac:dyDescent="0.15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13" x14ac:dyDescent="0.15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13" x14ac:dyDescent="0.15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13" x14ac:dyDescent="0.15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13" x14ac:dyDescent="0.15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13" x14ac:dyDescent="0.1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13" x14ac:dyDescent="0.15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13" x14ac:dyDescent="0.15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13" x14ac:dyDescent="0.15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spans="1:26" ht="13" x14ac:dyDescent="0.15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spans="1:26" ht="13" x14ac:dyDescent="0.15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 spans="1:26" ht="15.75" customHeight="1" x14ac:dyDescent="0.15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 spans="1:26" ht="15.75" customHeight="1" x14ac:dyDescent="0.15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  <row r="1003" spans="1:26" ht="15.75" customHeight="1" x14ac:dyDescent="0.15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</row>
    <row r="1004" spans="1:26" ht="15.75" customHeight="1" x14ac:dyDescent="0.15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</row>
    <row r="1005" spans="1:26" ht="15.75" customHeight="1" x14ac:dyDescent="0.15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</row>
    <row r="1006" spans="1:26" ht="15.75" customHeight="1" x14ac:dyDescent="0.15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</row>
    <row r="1007" spans="1:26" ht="15.75" customHeight="1" x14ac:dyDescent="0.15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</row>
    <row r="1008" spans="1:26" ht="15.75" customHeight="1" x14ac:dyDescent="0.15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</row>
    <row r="1009" spans="1:26" ht="15.75" customHeight="1" x14ac:dyDescent="0.15">
      <c r="A1009" s="1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</row>
  </sheetData>
  <hyperlinks>
    <hyperlink ref="F2" r:id="rId1" xr:uid="{6285929B-73AB-5546-943D-3213E9810E5E}"/>
    <hyperlink ref="F3" r:id="rId2" xr:uid="{EA80CFEA-FE77-1742-8F24-441CC1B5A395}"/>
    <hyperlink ref="F4" r:id="rId3" xr:uid="{CD4A5CF3-2371-E64E-AACB-91BAD06E41E6}"/>
    <hyperlink ref="F5" r:id="rId4" xr:uid="{A1A66D44-7A0D-1541-A905-34CB586997A6}"/>
    <hyperlink ref="F6" r:id="rId5" xr:uid="{DB1904C6-64DA-844E-B0D4-4C61E62AB8B2}"/>
    <hyperlink ref="F7" r:id="rId6" xr:uid="{1F1A6C71-4952-C840-B921-90E826EFEA7E}"/>
    <hyperlink ref="F8" r:id="rId7" xr:uid="{E8042115-1517-6D4F-AC89-1FE2DE324D31}"/>
    <hyperlink ref="F9" r:id="rId8" xr:uid="{7D5A1AFA-119D-BE41-AAEA-644B79E0E476}"/>
    <hyperlink ref="F10" r:id="rId9" xr:uid="{923C9C9C-9A73-7642-A45C-E8DCD6DE3E1B}"/>
    <hyperlink ref="F11" r:id="rId10" xr:uid="{86EB115F-BAA3-504C-B95D-4603891D57E0}"/>
    <hyperlink ref="F12" r:id="rId11" xr:uid="{04C73A44-897C-6A48-8CA0-D201A27520E8}"/>
    <hyperlink ref="F13" r:id="rId12" xr:uid="{D80F3E80-70FD-CF4B-8167-46F6C79409BE}"/>
    <hyperlink ref="F14" r:id="rId13" xr:uid="{FAA316CE-E04B-2443-9FCE-53C742C25D6B}"/>
    <hyperlink ref="F15" r:id="rId14" xr:uid="{0C65A396-E9F5-ED40-BAAC-800A03CC49C3}"/>
    <hyperlink ref="F16" r:id="rId15" xr:uid="{10FD9F21-17DE-AB42-97EC-74A02A673DD6}"/>
    <hyperlink ref="F17" r:id="rId16" xr:uid="{F7F6EF34-096C-AD41-B7CD-95CB7D69078F}"/>
    <hyperlink ref="F18" r:id="rId17" xr:uid="{460AE686-0A11-1D48-9E2C-D8A32C54B4E3}"/>
    <hyperlink ref="F19" r:id="rId18" xr:uid="{651FE059-684B-2747-A853-F5827041316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matchs_joueurs</vt:lpstr>
      <vt:lpstr>statistiques</vt:lpstr>
      <vt:lpstr>videos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Constantin Moreira</cp:lastModifiedBy>
  <dcterms:modified xsi:type="dcterms:W3CDTF">2026-03-19T08:40:33Z</dcterms:modified>
</cp:coreProperties>
</file>